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xg320/Desktop/IC-Sam-works/paper/Iman-2026/01_growth_model/input/"/>
    </mc:Choice>
  </mc:AlternateContent>
  <xr:revisionPtr revIDLastSave="0" documentId="13_ncr:1_{293A9929-99A3-2B45-A450-F559BE6D68A8}" xr6:coauthVersionLast="47" xr6:coauthVersionMax="47" xr10:uidLastSave="{00000000-0000-0000-0000-000000000000}"/>
  <bookViews>
    <workbookView xWindow="38400" yWindow="940" windowWidth="38400" windowHeight="19440" activeTab="1" xr2:uid="{00000000-000D-0000-FFFF-FFFF00000000}"/>
  </bookViews>
  <sheets>
    <sheet name="IPCCreference" sheetId="11" r:id="rId1"/>
    <sheet name="Geological Storage Capacity" sheetId="12" r:id="rId2"/>
    <sheet name="Australia" sheetId="1" r:id="rId3"/>
    <sheet name="Canada" sheetId="2" r:id="rId4"/>
    <sheet name="China" sheetId="3" r:id="rId5"/>
    <sheet name="EU without UK" sheetId="4" r:id="rId6"/>
    <sheet name="Indonesia" sheetId="5" r:id="rId7"/>
    <sheet name="Middle East" sheetId="6" r:id="rId8"/>
    <sheet name="Brazil" sheetId="7" r:id="rId9"/>
    <sheet name="UK" sheetId="8" r:id="rId10"/>
    <sheet name="US" sheetId="9" r:id="rId11"/>
    <sheet name="Thailand" sheetId="10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0" l="1"/>
  <c r="D60" i="9"/>
  <c r="D6" i="8"/>
  <c r="D24" i="7"/>
  <c r="D17" i="6"/>
  <c r="D4" i="5"/>
  <c r="D40" i="4"/>
  <c r="D20" i="3"/>
  <c r="D18" i="2"/>
  <c r="D13" i="1"/>
  <c r="K6" i="10"/>
  <c r="J6" i="10"/>
  <c r="I6" i="10"/>
  <c r="H6" i="10"/>
  <c r="BN135" i="9"/>
  <c r="BM135" i="9"/>
  <c r="BL135" i="9"/>
  <c r="BK135" i="9"/>
  <c r="BJ135" i="9"/>
  <c r="BI135" i="9"/>
  <c r="BH135" i="9"/>
  <c r="BG135" i="9"/>
  <c r="BF135" i="9"/>
  <c r="BE135" i="9"/>
  <c r="BD135" i="9"/>
  <c r="BC135" i="9"/>
  <c r="BB135" i="9"/>
  <c r="BA135" i="9"/>
  <c r="AZ135" i="9"/>
  <c r="AY135" i="9"/>
  <c r="AX135" i="9"/>
  <c r="AW135" i="9"/>
  <c r="AV135" i="9"/>
  <c r="AU135" i="9"/>
  <c r="AT135" i="9"/>
  <c r="AS135" i="9"/>
  <c r="AR135" i="9"/>
  <c r="AQ135" i="9"/>
  <c r="AP135" i="9"/>
  <c r="AO135" i="9"/>
  <c r="AN135" i="9"/>
  <c r="AM135" i="9"/>
  <c r="AL135" i="9"/>
  <c r="AK135" i="9"/>
  <c r="AJ135" i="9"/>
  <c r="AI135" i="9"/>
  <c r="AH135" i="9"/>
  <c r="AG135" i="9"/>
  <c r="AF135" i="9"/>
  <c r="AE135" i="9"/>
  <c r="AD135" i="9"/>
  <c r="AC135" i="9"/>
  <c r="AB135" i="9"/>
  <c r="AA135" i="9"/>
  <c r="Z135" i="9"/>
  <c r="Y135" i="9"/>
  <c r="X135" i="9"/>
  <c r="W135" i="9"/>
  <c r="V135" i="9"/>
  <c r="U135" i="9"/>
  <c r="T135" i="9"/>
  <c r="S135" i="9"/>
  <c r="R135" i="9"/>
  <c r="Q135" i="9"/>
  <c r="P135" i="9"/>
  <c r="O135" i="9"/>
  <c r="N135" i="9"/>
  <c r="M135" i="9"/>
  <c r="L135" i="9"/>
  <c r="K135" i="9"/>
  <c r="J135" i="9"/>
  <c r="I135" i="9"/>
  <c r="H135" i="9"/>
  <c r="L33" i="8"/>
  <c r="K33" i="8"/>
  <c r="J33" i="8"/>
  <c r="I33" i="8"/>
  <c r="H33" i="8"/>
  <c r="AD25" i="7"/>
  <c r="AC25" i="7"/>
  <c r="AB25" i="7"/>
  <c r="AA25" i="7"/>
  <c r="Z25" i="7"/>
  <c r="Y25" i="7"/>
  <c r="X25" i="7"/>
  <c r="W25" i="7"/>
  <c r="V25" i="7"/>
  <c r="U25" i="7"/>
  <c r="T25" i="7"/>
  <c r="S25" i="7"/>
  <c r="R25" i="7"/>
  <c r="Q25" i="7"/>
  <c r="P25" i="7"/>
  <c r="O25" i="7"/>
  <c r="N25" i="7"/>
  <c r="M25" i="7"/>
  <c r="L25" i="7"/>
  <c r="K25" i="7"/>
  <c r="J25" i="7"/>
  <c r="I25" i="7"/>
  <c r="H25" i="7"/>
  <c r="W18" i="6"/>
  <c r="V18" i="6"/>
  <c r="U18" i="6"/>
  <c r="T18" i="6"/>
  <c r="S18" i="6"/>
  <c r="R18" i="6"/>
  <c r="Q18" i="6"/>
  <c r="P18" i="6"/>
  <c r="O18" i="6"/>
  <c r="N18" i="6"/>
  <c r="M18" i="6"/>
  <c r="L18" i="6"/>
  <c r="K18" i="6"/>
  <c r="J18" i="6"/>
  <c r="I18" i="6"/>
  <c r="H18" i="6"/>
  <c r="J6" i="5"/>
  <c r="I6" i="5"/>
  <c r="H6" i="5"/>
  <c r="AT61" i="4"/>
  <c r="AS61" i="4"/>
  <c r="AR61" i="4"/>
  <c r="AQ61" i="4"/>
  <c r="AP61" i="4"/>
  <c r="AO61" i="4"/>
  <c r="AN61" i="4"/>
  <c r="AM61" i="4"/>
  <c r="AL61" i="4"/>
  <c r="AK61" i="4"/>
  <c r="AJ61" i="4"/>
  <c r="AI61" i="4"/>
  <c r="AH61" i="4"/>
  <c r="AG61" i="4"/>
  <c r="AF61" i="4"/>
  <c r="AE61" i="4"/>
  <c r="AD61" i="4"/>
  <c r="AC61" i="4"/>
  <c r="AB61" i="4"/>
  <c r="AA61" i="4"/>
  <c r="Z61" i="4"/>
  <c r="Y61" i="4"/>
  <c r="X61" i="4"/>
  <c r="W61" i="4"/>
  <c r="V61" i="4"/>
  <c r="U61" i="4"/>
  <c r="T61" i="4"/>
  <c r="S61" i="4"/>
  <c r="R61" i="4"/>
  <c r="Q61" i="4"/>
  <c r="P61" i="4"/>
  <c r="O61" i="4"/>
  <c r="N61" i="4"/>
  <c r="M61" i="4"/>
  <c r="L61" i="4"/>
  <c r="K61" i="4"/>
  <c r="J61" i="4"/>
  <c r="I61" i="4"/>
  <c r="H61" i="4"/>
  <c r="Z30" i="3"/>
  <c r="Y30" i="3"/>
  <c r="X30" i="3"/>
  <c r="W30" i="3"/>
  <c r="V30" i="3"/>
  <c r="U30" i="3"/>
  <c r="T30" i="3"/>
  <c r="S30" i="3"/>
  <c r="R30" i="3"/>
  <c r="Q30" i="3"/>
  <c r="P30" i="3"/>
  <c r="O30" i="3"/>
  <c r="N30" i="3"/>
  <c r="M30" i="3"/>
  <c r="L30" i="3"/>
  <c r="K30" i="3"/>
  <c r="J30" i="3"/>
  <c r="I30" i="3"/>
  <c r="H30" i="3"/>
  <c r="X23" i="2"/>
  <c r="W23" i="2"/>
  <c r="V23" i="2"/>
  <c r="U23" i="2"/>
  <c r="T23" i="2"/>
  <c r="S23" i="2"/>
  <c r="R23" i="2"/>
  <c r="Q23" i="2"/>
  <c r="P23" i="2"/>
  <c r="O23" i="2"/>
  <c r="N23" i="2"/>
  <c r="M23" i="2"/>
  <c r="L23" i="2"/>
  <c r="K23" i="2"/>
  <c r="J23" i="2"/>
  <c r="I23" i="2"/>
  <c r="H23" i="2"/>
  <c r="S14" i="1"/>
  <c r="R14" i="1"/>
  <c r="Q14" i="1"/>
  <c r="P14" i="1"/>
  <c r="O14" i="1"/>
  <c r="N14" i="1"/>
  <c r="M14" i="1"/>
  <c r="L14" i="1"/>
  <c r="K14" i="1"/>
  <c r="J14" i="1"/>
  <c r="I14" i="1"/>
  <c r="H14" i="1"/>
</calcChain>
</file>

<file path=xl/sharedStrings.xml><?xml version="1.0" encoding="utf-8"?>
<sst xmlns="http://schemas.openxmlformats.org/spreadsheetml/2006/main" count="400" uniqueCount="326">
  <si>
    <t>Year</t>
  </si>
  <si>
    <t>Storage Rate (Mt/Year)</t>
  </si>
  <si>
    <t>Cumulative Storage (Mt)</t>
  </si>
  <si>
    <t>Cumulative Storage (Gt)</t>
  </si>
  <si>
    <t xml:space="preserve">Facility </t>
  </si>
  <si>
    <t>Chevron Gorgon (AUS)</t>
  </si>
  <si>
    <t>Santos Moomba (AUS)</t>
  </si>
  <si>
    <t>INPEX Darwin (AUS)</t>
  </si>
  <si>
    <t>Total</t>
  </si>
  <si>
    <t>SaskPower Boundary Dam (CAN)</t>
  </si>
  <si>
    <t>Shell Quest (CAN)</t>
  </si>
  <si>
    <t>North West Redwater (NWR) Partnership Sturgeon Refinery (CAN)</t>
  </si>
  <si>
    <t>Nutrien Redwater (CAN)</t>
  </si>
  <si>
    <t>Entropy Glacier Gas Plant (Phases 1A, 1B) (CAN)</t>
  </si>
  <si>
    <t>Deep Sky Alpha (CAN)</t>
  </si>
  <si>
    <t>Entropy Athabasca Leismer (CAN)</t>
  </si>
  <si>
    <t>Entropy Glacier Gas Plant Phase 2 (CAN)</t>
  </si>
  <si>
    <t>Strathcona Resources Ltd. Cold Lake Hub (CAN)</t>
  </si>
  <si>
    <t>FCL Belle Plaine Ethanol Complex (CAN)</t>
  </si>
  <si>
    <t>Gibson Energy Gibson (CAN)</t>
  </si>
  <si>
    <t>Varme Energy WtE Plant Edmonton​ Industrial Heartland (CAN)</t>
  </si>
  <si>
    <t>Whitecap Resources Regina Refinery (CAN)</t>
  </si>
  <si>
    <t>Air Products  Canada Net Zero Hydrogen Energy Complex (CAN)</t>
  </si>
  <si>
    <t>Heidelberg Materials Edmonton (CAN)</t>
  </si>
  <si>
    <t>Shell Polaris (Scotford Complex) (CAN)</t>
  </si>
  <si>
    <t>Captus Generation Pincher Creek (CAN)</t>
  </si>
  <si>
    <t>Geneis Fertilisers Belle Plaine (CAN)</t>
  </si>
  <si>
    <t>Linde Dow Fort Saskatchewan Ethylene (CAN)</t>
  </si>
  <si>
    <t>Holcim Exshaw Cement (CAN)</t>
  </si>
  <si>
    <t>Yanchang Petroleum Integrated Demonstration (CHN)</t>
  </si>
  <si>
    <t>CNPC Jilin Oil Field (CHN)</t>
  </si>
  <si>
    <t>Xinjiang Dunhua Oil Technology Karamay (CHN)</t>
  </si>
  <si>
    <t>China National Energy Guohua Jinjie 1 (CHN)</t>
  </si>
  <si>
    <t>Sinopec Nanjing Chemical (CHN)</t>
  </si>
  <si>
    <t>Yanchang Petroleum Yan'an CO2-EOR (CHN)</t>
  </si>
  <si>
    <t>Sinopec Qilu-Shengli (CHN)</t>
  </si>
  <si>
    <t>Yanchang Petroleum Yulin CO2-EOR (CHN)</t>
  </si>
  <si>
    <t>CNOOC Enping Storage Demonstration (CHN)</t>
  </si>
  <si>
    <t>China National Energy Taizhou (CHN)</t>
  </si>
  <si>
    <t>China National Energy Xinjiang Chemicals Phase 1 (CHN)</t>
  </si>
  <si>
    <t>Guanghui Energy Co. Methanol Plant Phase 1 (CHN)</t>
  </si>
  <si>
    <t>Huaneng Yangpu Gas-fired Carbon Capture Demo (CHN)</t>
  </si>
  <si>
    <t>Jinjiang Chemical Kuitun CCUS (CHN)</t>
  </si>
  <si>
    <t>Sinopec Jinling Petrochemical (Nanjing Refinery) (CHN)</t>
  </si>
  <si>
    <t>Beijing BBGM Group Cement Plant (CHN)</t>
  </si>
  <si>
    <t>Beijing Shenwu Group Xinjiang Jinlong Shenwu (CHN)</t>
  </si>
  <si>
    <t>China National Energy Ningxia Phase 1 (CHN)</t>
  </si>
  <si>
    <t>China United Cement Qingzhou Oxy-Fuel Combustion Carbon Capture (CHN)</t>
  </si>
  <si>
    <t>CNOOC Enping CCUS Project (CHN)</t>
  </si>
  <si>
    <t>CNPC Huabei Oil Field (CHN)</t>
  </si>
  <si>
    <t>CNPC Liaohe CO2-EOR (CHN)</t>
  </si>
  <si>
    <t>China Huaneng Group Longdong Energy Base (CHN)</t>
  </si>
  <si>
    <t>Baotou Steel Phase 1 (CHN)</t>
  </si>
  <si>
    <t>CNPC Xinjiang Coal Power Plant Integrated 2 Mtpa Phase 1 (CHN)</t>
  </si>
  <si>
    <t>China National Energy Xinjiang Chemicals Phase 2 (CHN)</t>
  </si>
  <si>
    <t>China Resources Cement China Resources Hainan Changjiang Cement (CHN)</t>
  </si>
  <si>
    <t>MOL Szank Field CO2-EOR Site (HUN)</t>
  </si>
  <si>
    <t>INA/MOL CO2 EOR Croatia (HRV)</t>
  </si>
  <si>
    <t>Eni Casalborsetti Natural Gas Plant (ITA)</t>
  </si>
  <si>
    <t>Air Liquide Rotterdam Plant (NLD)</t>
  </si>
  <si>
    <t>Air Liquide Zeeland Refinery Azur (NLD)</t>
  </si>
  <si>
    <t>BASF Kairos@C (BEL)</t>
  </si>
  <si>
    <t>Bigadan Kalundborg Bioenergi (DNK)</t>
  </si>
  <si>
    <t>BioCirc Favrskov Biogas Plant (DNK)</t>
  </si>
  <si>
    <t>BioCirc Grønhøj Biogas Plant (DNK)</t>
  </si>
  <si>
    <t>BioCirc Haderslev Biogas Plant (DNK)</t>
  </si>
  <si>
    <t>BioCirc Vesthimmerland Biogas Plant (DNK)</t>
  </si>
  <si>
    <t>BioCirc Vinkel Biogas Plant (DNK)</t>
  </si>
  <si>
    <t>ClonBio Group Pannonia Bio refinery (HUN)</t>
  </si>
  <si>
    <t>Holcim Cement (Höver) (DEU)</t>
  </si>
  <si>
    <t>Preem Lysekil (SWE)</t>
  </si>
  <si>
    <t>RepAir Olea (GRC)</t>
  </si>
  <si>
    <t>Rohrdorfer Project CryoCEM (AUT)</t>
  </si>
  <si>
    <t>Shell Pernis Refinery Rotterdam (NLD)</t>
  </si>
  <si>
    <t>Yara Sluiskil Plant (NLD)</t>
  </si>
  <si>
    <t>Ørsted  Asnæs Power Station (DNK)</t>
  </si>
  <si>
    <t>Ørsted  Avedøre Power Station (DNK)</t>
  </si>
  <si>
    <t>ENGAS Duslo Šaľa Fertilizer Plant (SVK)</t>
  </si>
  <si>
    <t>Holcim GO4ECOPLANET (POL)</t>
  </si>
  <si>
    <t>Skellefteå Kraft Hedensbyn (SWE)</t>
  </si>
  <si>
    <t>AEB Aurora (NLD)</t>
  </si>
  <si>
    <t>Chaux et Dolomies du Boulonnais (Lhoist) Air Liquide CalCC (FRA)</t>
  </si>
  <si>
    <t>EQIOM K6 (FRA)</t>
  </si>
  <si>
    <t>Holcim KOdeCO Koromačno Plant (HRV)</t>
  </si>
  <si>
    <t>Motor Oil (Hellas) Motor Oil Hellas IRIS (GRC)</t>
  </si>
  <si>
    <t>Nexe Group CO2NTESSA (HRV)</t>
  </si>
  <si>
    <t>Sapiem Herambiente’s Waste-to-Energy Plant (ITA)</t>
  </si>
  <si>
    <t>Stockholm Exergi Beccs Stockholm Plant (SWE)</t>
  </si>
  <si>
    <t>Öresundskraft Filbornaverket (SWE)</t>
  </si>
  <si>
    <t>Aalborg Portland ACCSION (DNK)</t>
  </si>
  <si>
    <t>Air Liquide EVEREST (DEU)</t>
  </si>
  <si>
    <t>Buzzi Unicem Spa Augusta C2 (ITA)</t>
  </si>
  <si>
    <t>Dyckerhoff (Buzzi) Dyckerhoff Deuna (DEU)</t>
  </si>
  <si>
    <t>Equinor H2GE Rostock (DEU)</t>
  </si>
  <si>
    <t>Heidelberg Materials CBR Antoing Cement Plant (Project Anthemis) (BEL)</t>
  </si>
  <si>
    <t>Heidelberg Materials GeZero (DEU)</t>
  </si>
  <si>
    <t>Holcim GO4ZERO Obourg Plant (BEL)</t>
  </si>
  <si>
    <t>Holcim Olympus (GRC)</t>
  </si>
  <si>
    <t>Kredsløb Energipark Lisbjerg (DNK)</t>
  </si>
  <si>
    <t>Onyx Power Blue Hydrogen Plant (NLD)</t>
  </si>
  <si>
    <t>Titan Cement IFESTOS (GRC)</t>
  </si>
  <si>
    <t>CEMEX Rüdersdorf (DEU)</t>
  </si>
  <si>
    <t>Equinor H2BE (BEL)</t>
  </si>
  <si>
    <t>Heidelberg Materials Airvault GOCO2 (FRA)</t>
  </si>
  <si>
    <t>Heidelberg Materials HeidelbergCement ANRAV (BGR)</t>
  </si>
  <si>
    <t>Holcim Saint Pierre La Cour (FRA)</t>
  </si>
  <si>
    <t>PKN Orlen Orlen Plock CO2 Capture (POL)</t>
  </si>
  <si>
    <t>RWE Amer power plant (NLD)</t>
  </si>
  <si>
    <t>RWE Biomass Eemshaven (NLD)</t>
  </si>
  <si>
    <t>Ramboll Sysav Waste (SWE)</t>
  </si>
  <si>
    <t>RepAir Carbon Oak (FRA)</t>
  </si>
  <si>
    <t>Schwenk Broceni (LVA)</t>
  </si>
  <si>
    <t>Slite Cement Slite (SWE)</t>
  </si>
  <si>
    <t>Soderenergi bio-CCS (SWE)</t>
  </si>
  <si>
    <t>BP Tangguh LNG (IDN)</t>
  </si>
  <si>
    <t>Pertamina Sukowati (IDN)</t>
  </si>
  <si>
    <t>Repsol Sakakemang (IDN)</t>
  </si>
  <si>
    <t>Saudi Aramco Uthmaniyah (SAU)</t>
  </si>
  <si>
    <t>ADNOC Al-Reyadah (ARE)</t>
  </si>
  <si>
    <t>QatarEnergy Ras Laffan CCS (QAT)</t>
  </si>
  <si>
    <t>ADNOC Habshan (ARE)</t>
  </si>
  <si>
    <t>QatarEnergy 7 Blue Ammonia (QAT)</t>
  </si>
  <si>
    <t>Sirona Project Moringa (OMN)</t>
  </si>
  <si>
    <t>ADNOC Hail &amp; Ghasha Concession Fields (ARE)</t>
  </si>
  <si>
    <t>Saudi Aramco Jubail Hub (SAU)</t>
  </si>
  <si>
    <t>QatarEnergy LNG Carbon Dioxide Sequestration Project (QAT)</t>
  </si>
  <si>
    <t>Petrobras Santos Basin Pre-Salt Oil Field (BRA)</t>
  </si>
  <si>
    <t>Redcar Energy Centre Waste-to-Energy Teesside (GBR)</t>
  </si>
  <si>
    <t>Drax BECCS (GBR)</t>
  </si>
  <si>
    <t>EET Hydrogen EET HPP1 Hydrogen (GBR)</t>
  </si>
  <si>
    <t>SSE Thermal Keadby 3 Power Station (GBR)</t>
  </si>
  <si>
    <t>SUEZ Haverton Hill (GBR)</t>
  </si>
  <si>
    <t>BOC Teesside Hydrogen (GBR)</t>
  </si>
  <si>
    <t>EET Hydrogen EET HPP2 Hydrogen (GBR)</t>
  </si>
  <si>
    <t>Future Biogas BECCS (GBR)</t>
  </si>
  <si>
    <t>Kellas Midstream H2NorthEast (GBR)</t>
  </si>
  <si>
    <t>Net Zero Teesside NZT Power Plant (GBR)</t>
  </si>
  <si>
    <t>Phillips 66 Humber Refinery (GBR)</t>
  </si>
  <si>
    <t>Prax Lindsey Carbon Capture (PLCCP) (GBR)</t>
  </si>
  <si>
    <t>Storegga Acorn DAC (GBR)</t>
  </si>
  <si>
    <t>Viridor Runcorn ERF (GBR)</t>
  </si>
  <si>
    <t>Vitol VPI Immingham Power Plant (GBR)</t>
  </si>
  <si>
    <t>Encyclis Protos Energy Recovery Facility (GBR)</t>
  </si>
  <si>
    <t>Equinor Hydrogen to Humber Saltend (GBR)</t>
  </si>
  <si>
    <t>Evero Energy Ince Bioenergy with Carbon Capture and Storage (InBECCS) (GBR)</t>
  </si>
  <si>
    <t>Heidelberg Materials Heidelberg Padeswood Cement (GBR)</t>
  </si>
  <si>
    <t>Ocean-Power AS Shetland Offshore power generation (GBR)</t>
  </si>
  <si>
    <t>Uniper Humber Hub Blue (GBR)</t>
  </si>
  <si>
    <t>Aggregate Industries Cauldon Cement Plant (GBR)</t>
  </si>
  <si>
    <t>Cory CORY EfW (GBR)</t>
  </si>
  <si>
    <t>Enfinium Ferrybridge (GBR)</t>
  </si>
  <si>
    <t>ExxonMobil Blue Hydrogen Fawley Refinery (GBR)</t>
  </si>
  <si>
    <t>North Lincolnshire Green Energy Park  Flixborough Industrial Estate (GBR)</t>
  </si>
  <si>
    <t>Progressive Energy Aggregate Industries Cement Plant (GBR)</t>
  </si>
  <si>
    <t>Progressive Energy Breedon Hope Cement works (GBR)</t>
  </si>
  <si>
    <t>RWE Pembroke Power Station (GBR)</t>
  </si>
  <si>
    <t>Uniper Connah's Quay (GBR)</t>
  </si>
  <si>
    <t>Occidental Terrell (USA)</t>
  </si>
  <si>
    <t>Koch Fetilizer Enid Fertilizer (USA)</t>
  </si>
  <si>
    <t>ExxonMobil Shute Creek Gas (USA)</t>
  </si>
  <si>
    <t>Dakota Gasification Company Great Plains Synfuels Plant (USA)</t>
  </si>
  <si>
    <t>Core Energy South Chester plant (USA)</t>
  </si>
  <si>
    <t>CapturePoint Arkalon CO2 Compression Facility (USA)</t>
  </si>
  <si>
    <t>Longfellow Energy Century Plant (USA)</t>
  </si>
  <si>
    <t>Conestoga Energy Bonanza BioEnergy (USA)</t>
  </si>
  <si>
    <t>Air Products Valero Port Arthur Refinery (USA)</t>
  </si>
  <si>
    <t>CVR Energy Coffeyville Gasification Plant (USA)</t>
  </si>
  <si>
    <t>Contango Oil &amp; Gas Lost Cabin Gas Plant (USA)</t>
  </si>
  <si>
    <t>Nutrien Geismar (USA)</t>
  </si>
  <si>
    <t>ADM Illinois Industrial (USA)</t>
  </si>
  <si>
    <t>ENEOS Xplora Petra Nova Carbon Capture (USA)</t>
  </si>
  <si>
    <t>Stakeholder Gas Services 30-30 Gas Plant (USA)</t>
  </si>
  <si>
    <t>Gevo Net Zero North (USA)</t>
  </si>
  <si>
    <t>Targa Red Hills Natural Gas Processing Complex (USA)</t>
  </si>
  <si>
    <t>BKV Barnett Zero (USA)</t>
  </si>
  <si>
    <t>Harvestone Blue Flint Ethanol (USA)</t>
  </si>
  <si>
    <t>Heirloom Tracy DAC (USA)</t>
  </si>
  <si>
    <t>Heimdal Inc. Bantam DAC (USA)</t>
  </si>
  <si>
    <t>ADM Columbus (USA)</t>
  </si>
  <si>
    <t>CF Industries Donaldsonville (USA)</t>
  </si>
  <si>
    <t>Green Plains Central City Biorefinery (USA)</t>
  </si>
  <si>
    <t>Green Plains Wood River Biorefinery (USA)</t>
  </si>
  <si>
    <t>Green Plains York Biorefinery (USA)</t>
  </si>
  <si>
    <t>Vitol Madrid Ethanol Plant (USA)</t>
  </si>
  <si>
    <t>1PointFive STRATOS ( Direct Air Capture) (USA)</t>
  </si>
  <si>
    <t>Aemetis Keyes Ethanol (USA)</t>
  </si>
  <si>
    <t>Alto Ingredients Pekin (USA)</t>
  </si>
  <si>
    <t>BKV Cotton Cove (USA)</t>
  </si>
  <si>
    <t>California Resources Corporation Cal Capture (USA)</t>
  </si>
  <si>
    <t>Carbon America Bridgeport Ethanol (USA)</t>
  </si>
  <si>
    <t>Heirloom Shreveport Dac (USA)</t>
  </si>
  <si>
    <t>Lapis Energy Project Blue (USA)</t>
  </si>
  <si>
    <t>Linde Beaumont Hydrogen Plant (USA)</t>
  </si>
  <si>
    <t>Lotus Infrastructure Quail Run Energy Center (USA)</t>
  </si>
  <si>
    <t>Momentum Midstream New Generation Gas Gathering (NG3) (USA)</t>
  </si>
  <si>
    <t>NuCor Nucor Steel DRI (USA)</t>
  </si>
  <si>
    <t>One Earth Energy Ethanol (USA)</t>
  </si>
  <si>
    <t>Spiritus Technolifies Orchard One (USA)</t>
  </si>
  <si>
    <t>Velocys Bayou Fuels Negative Emission (USA)</t>
  </si>
  <si>
    <t>Venture Global LNG CP2 (USA)</t>
  </si>
  <si>
    <t>Wabash Valley Resources LLC Wabash Valley Resources West Terre Haute fertilizer plant (USA)</t>
  </si>
  <si>
    <t>Yosemite Hydrogen (USA)</t>
  </si>
  <si>
    <t>Absolute Energy Saint Ansgar (USA)</t>
  </si>
  <si>
    <t>Adam Fork Energy Adams Fork Energy Clean Ammonia (USA)</t>
  </si>
  <si>
    <t>Battelle Batelle Project Cypress (USA)</t>
  </si>
  <si>
    <t>Bia Energy Low Carbon Blue Methanol Plant     (USA)</t>
  </si>
  <si>
    <t>California Resources Corporation Grannus Ammonia and Hydrogen (USA)</t>
  </si>
  <si>
    <t>California Resources Corporation Verde Clean Fuels Renewable Gasoline (USA)</t>
  </si>
  <si>
    <t>Calpine Sutter Energy Center (USA)</t>
  </si>
  <si>
    <t>Heirloom Project Cypress Northwest (USA)</t>
  </si>
  <si>
    <t>Lake Charles Methanol Methanol II (USA)</t>
  </si>
  <si>
    <t>NuGen Marion Ethanol (USA)</t>
  </si>
  <si>
    <t>St. Charles Clean Fuels Hydrogen Louisiana (USA)</t>
  </si>
  <si>
    <t>Summit Carbon Solutions Aberdeen Biorefinery (USA)</t>
  </si>
  <si>
    <t>Summit Carbon Solutions Albert City (USA)</t>
  </si>
  <si>
    <t>Summit Carbon Solutions Albion (USA)</t>
  </si>
  <si>
    <t>Summit Carbon Solutions Arthur (USA)</t>
  </si>
  <si>
    <t>Summit Carbon Solutions Aurora (USA)</t>
  </si>
  <si>
    <t>Summit Carbon Solutions Big Stone (USA)</t>
  </si>
  <si>
    <t>Summit Carbon Solutions Bushmills Biorefinery (USA)</t>
  </si>
  <si>
    <t>Summit Carbon Solutions Casselton Biorefinery (USA)</t>
  </si>
  <si>
    <t>Summit Carbon Solutions Chancellor (USA)</t>
  </si>
  <si>
    <t>Summit Carbon Solutions Charles City (USA)</t>
  </si>
  <si>
    <t>Summit Carbon Solutions Coon Rapids (USA)</t>
  </si>
  <si>
    <t>Summit Carbon Solutions Corning (USA)</t>
  </si>
  <si>
    <t>Summit Carbon Solutions Emmetsburg (USA)</t>
  </si>
  <si>
    <t>Summit Carbon Solutions Fairbank (USA)</t>
  </si>
  <si>
    <t>Summit Carbon Solutions Fairmont Biorefinery (USA)</t>
  </si>
  <si>
    <t>Summit Carbon Solutions Fort Dodge (USA)</t>
  </si>
  <si>
    <t>Summit Carbon Solutions Galva Biorefinery (USA)</t>
  </si>
  <si>
    <t>Summit Carbon Solutions Goldfield Biorefinery (USA)</t>
  </si>
  <si>
    <t>Summit Carbon Solutions Gowrie, IA (USA)</t>
  </si>
  <si>
    <t>Summit Carbon Solutions Grand Junction Biorefinery (USA)</t>
  </si>
  <si>
    <t>Summit Carbon Solutions Granite Falls Biorefinery (USA)</t>
  </si>
  <si>
    <t>Summit Carbon Solutions Groton (USA)</t>
  </si>
  <si>
    <t>Summit Carbon Solutions Hanlon Town, IA (USA)</t>
  </si>
  <si>
    <t>Summit Carbon Solutions Hartley (USA)</t>
  </si>
  <si>
    <t>Summit Carbon Solutions Heron Lake Biorefinery (USA)</t>
  </si>
  <si>
    <t>Summit Carbon Solutions Hudson, SD (USA)</t>
  </si>
  <si>
    <t>Summit Carbon Solutions Huron Biorefinery (USA)</t>
  </si>
  <si>
    <t>Summit Carbon Solutions Iowa Falls, IA (USA)</t>
  </si>
  <si>
    <t>Summit Carbon Solutions Jewell, IA (USA)</t>
  </si>
  <si>
    <t>Summit Carbon Solutions Lakota (USA)</t>
  </si>
  <si>
    <t>Summit Carbon Solutions Lamberton Biorefinery (USA)</t>
  </si>
  <si>
    <t>Summit Carbon Solutions Lawler Biorefinery (USA)</t>
  </si>
  <si>
    <t>Summit Carbon Solutions Marcus Biorefinery (USA)</t>
  </si>
  <si>
    <t>Summit Carbon Solutions Mason City Biorefinery (USA)</t>
  </si>
  <si>
    <t>Summit Carbon Solutions Menlo, IA (USA)</t>
  </si>
  <si>
    <t>Summit Carbon Solutions Merrill Biorefinery (USA)</t>
  </si>
  <si>
    <t>Summit Carbon Solutions Mina Biorefinery (USA)</t>
  </si>
  <si>
    <t>Summit Carbon Solutions Mitchell, SD (USA)</t>
  </si>
  <si>
    <t>Summit Carbon Solutions Nevada Biorefinery (USA)</t>
  </si>
  <si>
    <t>Summit Carbon Solutions Norfolk Biorefinery (USA)</t>
  </si>
  <si>
    <t>Summit Carbon Solutions Onida Biorefinery (USA)</t>
  </si>
  <si>
    <t>Summit Carbon Solutions Otter Tail Biorefinery (USA)</t>
  </si>
  <si>
    <t>Summit Carbon Solutions Plainview Biorefinery (USA)</t>
  </si>
  <si>
    <t>Summit Carbon Solutions Redfield Biorefinery (USA)</t>
  </si>
  <si>
    <t>Summit Carbon Solutions Shell Rock, IA (USA)</t>
  </si>
  <si>
    <t>Summit Carbon Solutions Shenandoah Biorefinery (USA)</t>
  </si>
  <si>
    <t>Summit Carbon Solutions Sioux Center Biorefinery (USA)</t>
  </si>
  <si>
    <t>Summit Carbon Solutions Steamboat Rock Biorefinery (USA)</t>
  </si>
  <si>
    <t>Summit Carbon Solutions Superior Biorefinery (USA)</t>
  </si>
  <si>
    <t>Summit Carbon Solutions Watertown Biorefinery (USA)</t>
  </si>
  <si>
    <t>Summit Carbon Solutions Welcome (USA)</t>
  </si>
  <si>
    <t>Summit Carbon Solutions Wentworth Biorefinery (USA)</t>
  </si>
  <si>
    <t>Sustainable Fuels Group CIP blue ammonia plant (USA)</t>
  </si>
  <si>
    <t>Tokyo's INPEX Air Liquide Houston Ship Channel Ammonia Production (USA)</t>
  </si>
  <si>
    <t>8 Rivers Cormorant Clean Energy  (USA)</t>
  </si>
  <si>
    <t>Air Products Louisiana Clean Energy Complex (USA)</t>
  </si>
  <si>
    <t>Blue Spruce Operating Blue Spruce Dry Piney (USA)</t>
  </si>
  <si>
    <t>CF Industries Yazoo City (USA)</t>
  </si>
  <si>
    <t>Calpine Baytown Energy Centre (USA)</t>
  </si>
  <si>
    <t>Cleco Diamond Vault (USA)</t>
  </si>
  <si>
    <t>Crescent Midstream Entergy Lake Charles (USA)</t>
  </si>
  <si>
    <t>ExxonMobil Baytown Low Carbon Hydrogen (USA)</t>
  </si>
  <si>
    <t>Fidelis New Energy Mountaineer Gigasystem (USA)</t>
  </si>
  <si>
    <t>NEXT Carbon Solutions Next Decade Rio Grande LNG (USA)</t>
  </si>
  <si>
    <t>AtmosClear  BECCS  (USA)</t>
  </si>
  <si>
    <t>CF Industries Blue Point (USA)</t>
  </si>
  <si>
    <t>Clean Hydrogen Works Ascension Clean Energy (USA)</t>
  </si>
  <si>
    <t>Minnkota Power Cooperative Project Tundra (USA)</t>
  </si>
  <si>
    <t>Net Power Odessa Gas Plant (USA)</t>
  </si>
  <si>
    <t>Strategic Biofuels LLC Louisiana Green Fuels (USA)</t>
  </si>
  <si>
    <t>Advanced Resources International Ash Grove Foreman Cement Plant (USA)</t>
  </si>
  <si>
    <t>Broadwing Illinois Power Plant (USA)</t>
  </si>
  <si>
    <t>Climeworks Prairie Compass DAC Hub (USA)</t>
  </si>
  <si>
    <t>GE Vernova Southern Company James M. Barry Generating Plant (USA)</t>
  </si>
  <si>
    <t>Heidelberg Materials Mitchell (USA)</t>
  </si>
  <si>
    <t>Proman Lake Charles low carbon ammonia (USA)</t>
  </si>
  <si>
    <t>PTTEP Arthit (THA)</t>
  </si>
  <si>
    <t xml:space="preserve">Country </t>
  </si>
  <si>
    <t>IPCC Projected Demands: Low [Gt/yr]</t>
  </si>
  <si>
    <t>IPCC Projected Demands: High [Gt/yr]</t>
  </si>
  <si>
    <t>Published storage target [Gt/yr]</t>
  </si>
  <si>
    <t>Reference</t>
  </si>
  <si>
    <t>Australia</t>
  </si>
  <si>
    <t>None identified</t>
  </si>
  <si>
    <t xml:space="preserve">Canada </t>
  </si>
  <si>
    <t>https://www.cer-rec.gc.ca/en/data-analysis/canada-energy-future/2023/canada-energy-futures-2023.pdf</t>
  </si>
  <si>
    <t xml:space="preserve">China </t>
  </si>
  <si>
    <t xml:space="preserve">EU </t>
  </si>
  <si>
    <t>N/A</t>
  </si>
  <si>
    <t>https://climate.ec.europa.eu/eu-action/industrial-carbon-management/eus-2030-carbon-storage-target_en</t>
  </si>
  <si>
    <t>Indonesia</t>
  </si>
  <si>
    <t>Middle East</t>
  </si>
  <si>
    <t>Brazil</t>
  </si>
  <si>
    <t xml:space="preserve">UK </t>
  </si>
  <si>
    <t>US</t>
  </si>
  <si>
    <t>Thailand</t>
  </si>
  <si>
    <t>No data</t>
  </si>
  <si>
    <t>OGCI</t>
  </si>
  <si>
    <t xml:space="preserve">Middle East </t>
  </si>
  <si>
    <t xml:space="preserve">Thailand </t>
  </si>
  <si>
    <t xml:space="preserve">Indonesia </t>
  </si>
  <si>
    <t>EU</t>
  </si>
  <si>
    <t>UK</t>
  </si>
  <si>
    <t xml:space="preserve">Teletzke et al. 2018 </t>
  </si>
  <si>
    <t xml:space="preserve">Australia </t>
  </si>
  <si>
    <t>Canada</t>
  </si>
  <si>
    <t>Kearns et al. 2017</t>
  </si>
  <si>
    <t xml:space="preserve">Source </t>
  </si>
  <si>
    <t xml:space="preserve">Storage resource estimate (Gt) </t>
  </si>
  <si>
    <t>Word Bank</t>
  </si>
  <si>
    <t>Notes</t>
  </si>
  <si>
    <t>https://documents1.worldbank.org/curated/en/099041823103013605/pdf/P1711730c77a380bd0bf340b299f884cf4b.pdf</t>
  </si>
  <si>
    <t xml:space="preserve">The total of 45.5893 GtCO₂ includes the OGCI-quantified storage resource estimates for Qatar, Saudi Arabia, the UAE, Syria, Turkey, Israel, Oman, and Yemen. Among these, Syria is included with 0.00 GtCO₂ because OGCI reports no published storage resource estimate for the country. Iraq and Iran are excluded from the total because no directly citable OGCI storage resource estimate in GtCO₂ was found for them. The calculation uses OGCI Cycle 4 Appendix D for Qatar, Saudi Arabia, the UAE, Syria, Turkey, Israel, and Oman, and OGCI Cycle 5 for Yemen.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</si>
</sst>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</cellStyleXfs>
  <cellXfs count="7">
    <xf numFmtId="0" fontId="0" fillId="0" borderId="0" xfId="0"/>
    <xf numFmtId="0" fontId="3" fillId="0" borderId="0" xfId="0" applyFont="1"/>
    <xf numFmtId="0" fontId="2" fillId="0" borderId="0" xfId="1"/>
    <xf numFmtId="0" fontId="4" fillId="0" borderId="0" xfId="1" applyFont="1"/>
    <xf numFmtId="0" fontId="5" fillId="0" borderId="0" xfId="2"/>
    <xf numFmtId="0" fontId="1" fillId="0" borderId="0" xfId="1" applyFont="1"/>
    <xf numFmtId="0" fontId="6" fillId="0" borderId="0" xfId="3"/>
  </cellXfs>
  <cellStyles count="4">
    <cellStyle name="Hyperlink" xfId="3" builtinId="8"/>
    <cellStyle name="Hyperlink 2" xfId="2" xr:uid="{7259EF50-D483-6243-A415-30C11BC68858}"/>
    <cellStyle name="Normal" xfId="0" builtinId="0"/>
    <cellStyle name="Normal 2" xfId="1" xr:uid="{9656E683-8649-AA44-857A-0E087E405B96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cer-rec.gc.ca/en/data-analysis/canada-energy-future/2023/canada-energy-futures-2023.pdf" TargetMode="External"/><Relationship Id="rId1" Type="http://schemas.openxmlformats.org/officeDocument/2006/relationships/hyperlink" Target="https://climate.ec.europa.eu/eu-action/industrial-carbon-management/eus-2030-carbon-storage-target_en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documents1.worldbank.org/curated/en/099041823103013605/pdf/P1711730c77a380bd0bf340b299f884cf4b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98E6F-02C0-074E-809A-B77DD32A0FDD}">
  <dimension ref="A1:E11"/>
  <sheetViews>
    <sheetView workbookViewId="0">
      <selection activeCell="D23" sqref="D23"/>
    </sheetView>
  </sheetViews>
  <sheetFormatPr baseColWidth="10" defaultRowHeight="16" x14ac:dyDescent="0.2"/>
  <cols>
    <col min="1" max="1" width="10.83203125" style="2"/>
    <col min="2" max="2" width="31.5" style="2" bestFit="1" customWidth="1"/>
    <col min="3" max="3" width="32.1640625" style="2" bestFit="1" customWidth="1"/>
    <col min="4" max="4" width="26.33203125" style="2" bestFit="1" customWidth="1"/>
    <col min="5" max="16384" width="10.83203125" style="2"/>
  </cols>
  <sheetData>
    <row r="1" spans="1:5" x14ac:dyDescent="0.2">
      <c r="A1" s="2" t="s">
        <v>290</v>
      </c>
      <c r="B1" s="2" t="s">
        <v>291</v>
      </c>
      <c r="C1" s="2" t="s">
        <v>292</v>
      </c>
      <c r="D1" s="2" t="s">
        <v>293</v>
      </c>
      <c r="E1" s="2" t="s">
        <v>294</v>
      </c>
    </row>
    <row r="2" spans="1:5" x14ac:dyDescent="0.2">
      <c r="A2" s="2" t="s">
        <v>295</v>
      </c>
      <c r="B2" s="2">
        <v>6.23012495040894E-3</v>
      </c>
      <c r="C2" s="2">
        <v>0.238633232709833</v>
      </c>
      <c r="D2" s="3" t="s">
        <v>296</v>
      </c>
    </row>
    <row r="3" spans="1:5" x14ac:dyDescent="0.2">
      <c r="A3" s="2" t="s">
        <v>297</v>
      </c>
      <c r="B3" s="2">
        <v>1.78528571128845E-3</v>
      </c>
      <c r="C3" s="2">
        <v>0.44391242381351798</v>
      </c>
      <c r="D3" s="3">
        <v>0.06</v>
      </c>
      <c r="E3" s="4" t="s">
        <v>298</v>
      </c>
    </row>
    <row r="4" spans="1:5" x14ac:dyDescent="0.2">
      <c r="A4" s="2" t="s">
        <v>299</v>
      </c>
      <c r="B4" s="2">
        <v>8.7942699999999999E-2</v>
      </c>
      <c r="C4" s="2">
        <v>6.5712832118047402</v>
      </c>
      <c r="D4" s="3">
        <v>0.216</v>
      </c>
    </row>
    <row r="5" spans="1:5" x14ac:dyDescent="0.2">
      <c r="A5" s="3" t="s">
        <v>300</v>
      </c>
      <c r="B5" s="3" t="s">
        <v>301</v>
      </c>
      <c r="C5" s="3" t="s">
        <v>301</v>
      </c>
      <c r="D5" s="3">
        <v>0.33</v>
      </c>
      <c r="E5" s="4" t="s">
        <v>302</v>
      </c>
    </row>
    <row r="6" spans="1:5" x14ac:dyDescent="0.2">
      <c r="A6" s="2" t="s">
        <v>303</v>
      </c>
      <c r="B6" s="2">
        <v>3.4121739470086999E-3</v>
      </c>
      <c r="C6" s="2">
        <v>3.7238848</v>
      </c>
      <c r="D6" s="3" t="s">
        <v>296</v>
      </c>
    </row>
    <row r="7" spans="1:5" x14ac:dyDescent="0.2">
      <c r="A7" s="3" t="s">
        <v>304</v>
      </c>
      <c r="B7" s="3" t="s">
        <v>301</v>
      </c>
      <c r="C7" s="3" t="s">
        <v>301</v>
      </c>
      <c r="D7" s="3" t="s">
        <v>296</v>
      </c>
    </row>
    <row r="8" spans="1:5" x14ac:dyDescent="0.2">
      <c r="A8" s="2" t="s">
        <v>305</v>
      </c>
      <c r="B8" s="2">
        <v>1.4094000000000001E-3</v>
      </c>
      <c r="C8" s="2">
        <v>1.9588826499176599</v>
      </c>
      <c r="D8" s="3" t="s">
        <v>296</v>
      </c>
    </row>
    <row r="9" spans="1:5" x14ac:dyDescent="0.2">
      <c r="A9" s="3" t="s">
        <v>306</v>
      </c>
      <c r="B9" s="3" t="s">
        <v>301</v>
      </c>
      <c r="C9" s="3" t="s">
        <v>301</v>
      </c>
      <c r="D9" s="3">
        <v>0.17499999999999999</v>
      </c>
    </row>
    <row r="10" spans="1:5" x14ac:dyDescent="0.2">
      <c r="A10" s="2" t="s">
        <v>307</v>
      </c>
      <c r="B10" s="2">
        <v>3.63542116016001E-3</v>
      </c>
      <c r="C10" s="2">
        <v>3.7238848</v>
      </c>
      <c r="D10" s="3">
        <v>1</v>
      </c>
    </row>
    <row r="11" spans="1:5" x14ac:dyDescent="0.2">
      <c r="A11" s="3" t="s">
        <v>308</v>
      </c>
      <c r="B11" s="3" t="s">
        <v>309</v>
      </c>
      <c r="C11" s="3" t="s">
        <v>309</v>
      </c>
      <c r="D11" s="3" t="s">
        <v>296</v>
      </c>
    </row>
  </sheetData>
  <hyperlinks>
    <hyperlink ref="E5" r:id="rId1" xr:uid="{9E76F304-2033-F347-B262-EEE1FCB860DC}"/>
    <hyperlink ref="E3" r:id="rId2" xr:uid="{7AAAC4D0-D8F8-AC44-89AB-F6706C381EC4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2FEF6-9726-D243-92D9-040FFA56127D}">
  <dimension ref="A1:D11"/>
  <sheetViews>
    <sheetView tabSelected="1" workbookViewId="0">
      <selection activeCell="H27" sqref="H27"/>
    </sheetView>
  </sheetViews>
  <sheetFormatPr baseColWidth="10" defaultRowHeight="16" x14ac:dyDescent="0.2"/>
  <cols>
    <col min="1" max="1" width="10.83203125" style="2"/>
    <col min="2" max="2" width="26.83203125" style="2" bestFit="1" customWidth="1"/>
    <col min="3" max="16384" width="10.83203125" style="2"/>
  </cols>
  <sheetData>
    <row r="1" spans="1:4" x14ac:dyDescent="0.2">
      <c r="A1" s="2" t="s">
        <v>290</v>
      </c>
      <c r="B1" s="2" t="s">
        <v>321</v>
      </c>
      <c r="C1" s="2" t="s">
        <v>320</v>
      </c>
      <c r="D1" s="5" t="s">
        <v>323</v>
      </c>
    </row>
    <row r="2" spans="1:4" x14ac:dyDescent="0.2">
      <c r="A2" s="2" t="s">
        <v>299</v>
      </c>
      <c r="B2" s="2">
        <v>403</v>
      </c>
      <c r="C2" s="2" t="s">
        <v>319</v>
      </c>
    </row>
    <row r="3" spans="1:4" x14ac:dyDescent="0.2">
      <c r="A3" s="2" t="s">
        <v>318</v>
      </c>
      <c r="B3" s="2">
        <v>404</v>
      </c>
      <c r="C3" s="2" t="s">
        <v>310</v>
      </c>
    </row>
    <row r="4" spans="1:4" x14ac:dyDescent="0.2">
      <c r="A4" s="2" t="s">
        <v>317</v>
      </c>
      <c r="B4" s="2">
        <v>502.4</v>
      </c>
      <c r="C4" s="2" t="s">
        <v>310</v>
      </c>
    </row>
    <row r="5" spans="1:4" x14ac:dyDescent="0.2">
      <c r="A5" s="2" t="s">
        <v>307</v>
      </c>
      <c r="B5" s="2">
        <v>506</v>
      </c>
      <c r="C5" s="2" t="s">
        <v>316</v>
      </c>
    </row>
    <row r="6" spans="1:4" x14ac:dyDescent="0.2">
      <c r="A6" s="2" t="s">
        <v>315</v>
      </c>
      <c r="B6" s="2">
        <v>78</v>
      </c>
      <c r="C6" s="2" t="s">
        <v>310</v>
      </c>
    </row>
    <row r="7" spans="1:4" x14ac:dyDescent="0.2">
      <c r="A7" s="2" t="s">
        <v>314</v>
      </c>
      <c r="B7" s="2">
        <v>94</v>
      </c>
      <c r="C7" s="2" t="s">
        <v>310</v>
      </c>
    </row>
    <row r="8" spans="1:4" x14ac:dyDescent="0.2">
      <c r="A8" s="3" t="s">
        <v>305</v>
      </c>
      <c r="B8" s="3">
        <v>300</v>
      </c>
      <c r="C8" s="3" t="s">
        <v>322</v>
      </c>
      <c r="D8" s="6" t="s">
        <v>324</v>
      </c>
    </row>
    <row r="9" spans="1:4" x14ac:dyDescent="0.2">
      <c r="A9" s="2" t="s">
        <v>313</v>
      </c>
      <c r="B9" s="2">
        <v>15.9</v>
      </c>
      <c r="C9" s="2" t="s">
        <v>310</v>
      </c>
    </row>
    <row r="10" spans="1:4" x14ac:dyDescent="0.2">
      <c r="A10" s="2" t="s">
        <v>312</v>
      </c>
      <c r="B10" s="2">
        <v>10.5</v>
      </c>
      <c r="C10" s="2" t="s">
        <v>310</v>
      </c>
    </row>
    <row r="11" spans="1:4" x14ac:dyDescent="0.2">
      <c r="A11" s="2" t="s">
        <v>311</v>
      </c>
      <c r="B11" s="2">
        <v>45.6</v>
      </c>
      <c r="C11" s="2" t="s">
        <v>310</v>
      </c>
      <c r="D11" s="5" t="s">
        <v>325</v>
      </c>
    </row>
  </sheetData>
  <hyperlinks>
    <hyperlink ref="D8" r:id="rId1" xr:uid="{DB19B3FA-6927-B946-8CBB-DFC0D2933A53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4"/>
  <sheetViews>
    <sheetView workbookViewId="0">
      <selection activeCell="D14" sqref="D14"/>
    </sheetView>
  </sheetViews>
  <sheetFormatPr baseColWidth="10" defaultColWidth="8.83203125" defaultRowHeight="15" x14ac:dyDescent="0.2"/>
  <cols>
    <col min="1" max="1" width="13" customWidth="1"/>
    <col min="2" max="2" width="19.83203125" customWidth="1"/>
    <col min="3" max="3" width="21" customWidth="1"/>
    <col min="4" max="6" width="13" customWidth="1"/>
    <col min="7" max="7" width="75.6640625" customWidth="1"/>
    <col min="8" max="19" width="13" customWidth="1"/>
  </cols>
  <sheetData>
    <row r="1" spans="1:19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16" x14ac:dyDescent="0.2">
      <c r="A2" s="1">
        <v>2019</v>
      </c>
      <c r="B2" s="1">
        <v>4</v>
      </c>
      <c r="C2" s="1">
        <v>4</v>
      </c>
      <c r="D2" s="1"/>
      <c r="E2" s="1"/>
      <c r="F2" s="1"/>
      <c r="G2" s="1" t="s">
        <v>4</v>
      </c>
      <c r="H2" s="1">
        <v>2019</v>
      </c>
      <c r="I2" s="1">
        <v>2020</v>
      </c>
      <c r="J2" s="1">
        <v>2021</v>
      </c>
      <c r="K2" s="1">
        <v>2022</v>
      </c>
      <c r="L2" s="1">
        <v>2023</v>
      </c>
      <c r="M2" s="1">
        <v>2024</v>
      </c>
      <c r="N2" s="1">
        <v>2025</v>
      </c>
      <c r="O2" s="1">
        <v>2026</v>
      </c>
      <c r="P2" s="1">
        <v>2027</v>
      </c>
      <c r="Q2" s="1">
        <v>2028</v>
      </c>
      <c r="R2" s="1">
        <v>2029</v>
      </c>
      <c r="S2" s="1">
        <v>2030</v>
      </c>
    </row>
    <row r="3" spans="1:19" ht="16" x14ac:dyDescent="0.2">
      <c r="A3" s="1">
        <v>2020</v>
      </c>
      <c r="B3" s="1">
        <v>4</v>
      </c>
      <c r="C3" s="1">
        <v>8</v>
      </c>
      <c r="D3" s="1"/>
      <c r="E3" s="1"/>
      <c r="F3" s="1"/>
      <c r="G3" s="1" t="s">
        <v>5</v>
      </c>
      <c r="H3" s="1">
        <v>4</v>
      </c>
      <c r="I3" s="1">
        <v>4</v>
      </c>
      <c r="J3" s="1">
        <v>4</v>
      </c>
      <c r="K3" s="1">
        <v>4</v>
      </c>
      <c r="L3" s="1">
        <v>4</v>
      </c>
      <c r="M3" s="1">
        <v>4</v>
      </c>
      <c r="N3" s="1">
        <v>4</v>
      </c>
      <c r="O3" s="1">
        <v>4</v>
      </c>
      <c r="P3" s="1">
        <v>4</v>
      </c>
      <c r="Q3" s="1">
        <v>4</v>
      </c>
      <c r="R3" s="1">
        <v>4</v>
      </c>
      <c r="S3" s="1">
        <v>4</v>
      </c>
    </row>
    <row r="4" spans="1:19" ht="16" x14ac:dyDescent="0.2">
      <c r="A4" s="1">
        <v>2021</v>
      </c>
      <c r="B4" s="1">
        <v>4</v>
      </c>
      <c r="C4" s="1">
        <v>12</v>
      </c>
      <c r="D4" s="1"/>
      <c r="E4" s="1"/>
      <c r="F4" s="1"/>
      <c r="G4" s="1" t="s">
        <v>6</v>
      </c>
      <c r="H4" s="1"/>
      <c r="I4" s="1"/>
      <c r="J4" s="1"/>
      <c r="K4" s="1"/>
      <c r="L4" s="1"/>
      <c r="M4" s="1">
        <v>1.7</v>
      </c>
      <c r="N4" s="1">
        <v>1.7</v>
      </c>
      <c r="O4" s="1">
        <v>1.7</v>
      </c>
      <c r="P4" s="1">
        <v>1.7</v>
      </c>
      <c r="Q4" s="1">
        <v>1.7</v>
      </c>
      <c r="R4" s="1">
        <v>1.7</v>
      </c>
      <c r="S4" s="1">
        <v>1.7</v>
      </c>
    </row>
    <row r="5" spans="1:19" ht="16" x14ac:dyDescent="0.2">
      <c r="A5" s="1">
        <v>2022</v>
      </c>
      <c r="B5" s="1">
        <v>4</v>
      </c>
      <c r="C5" s="1">
        <v>16</v>
      </c>
      <c r="D5" s="1"/>
      <c r="E5" s="1"/>
      <c r="F5" s="1"/>
      <c r="G5" s="1" t="s">
        <v>7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>
        <v>2</v>
      </c>
    </row>
    <row r="6" spans="1:19" ht="16" x14ac:dyDescent="0.2">
      <c r="A6" s="1">
        <v>2023</v>
      </c>
      <c r="B6" s="1">
        <v>4</v>
      </c>
      <c r="C6" s="1">
        <v>20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</row>
    <row r="7" spans="1:19" ht="16" x14ac:dyDescent="0.2">
      <c r="A7" s="1">
        <v>2024</v>
      </c>
      <c r="B7" s="1">
        <v>5.7</v>
      </c>
      <c r="C7" s="1">
        <v>25.7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</row>
    <row r="8" spans="1:19" ht="16" x14ac:dyDescent="0.2">
      <c r="A8" s="1">
        <v>2025</v>
      </c>
      <c r="B8" s="1">
        <v>5.7</v>
      </c>
      <c r="C8" s="1">
        <v>31.4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</row>
    <row r="9" spans="1:19" ht="16" x14ac:dyDescent="0.2">
      <c r="A9" s="1">
        <v>2026</v>
      </c>
      <c r="B9" s="1">
        <v>5.7</v>
      </c>
      <c r="C9" s="1">
        <v>37.1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</row>
    <row r="10" spans="1:19" ht="16" x14ac:dyDescent="0.2">
      <c r="A10" s="1">
        <v>2027</v>
      </c>
      <c r="B10" s="1">
        <v>5.7</v>
      </c>
      <c r="C10" s="1">
        <v>42.8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</row>
    <row r="11" spans="1:19" ht="16" x14ac:dyDescent="0.2">
      <c r="A11" s="1">
        <v>2028</v>
      </c>
      <c r="B11" s="1">
        <v>5.7</v>
      </c>
      <c r="C11" s="1">
        <v>48.5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</row>
    <row r="12" spans="1:19" ht="16" x14ac:dyDescent="0.2">
      <c r="A12" s="1">
        <v>2029</v>
      </c>
      <c r="B12" s="1">
        <v>5.7</v>
      </c>
      <c r="C12" s="1">
        <v>54.2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</row>
    <row r="13" spans="1:19" ht="16" x14ac:dyDescent="0.2">
      <c r="A13" s="1">
        <v>2030</v>
      </c>
      <c r="B13" s="1">
        <v>7.7</v>
      </c>
      <c r="C13" s="1">
        <v>61.9</v>
      </c>
      <c r="D13" s="1">
        <f>C13/1000</f>
        <v>6.1899999999999997E-2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</row>
    <row r="14" spans="1:19" ht="16" x14ac:dyDescent="0.2">
      <c r="A14" s="1"/>
      <c r="B14" s="1"/>
      <c r="C14" s="1"/>
      <c r="D14" s="1"/>
      <c r="E14" s="1"/>
      <c r="F14" s="1"/>
      <c r="G14" s="1" t="s">
        <v>8</v>
      </c>
      <c r="H14" s="1">
        <f t="shared" ref="H14:S14" si="0">SUM(H3:H5)</f>
        <v>4</v>
      </c>
      <c r="I14" s="1">
        <f t="shared" si="0"/>
        <v>4</v>
      </c>
      <c r="J14" s="1">
        <f t="shared" si="0"/>
        <v>4</v>
      </c>
      <c r="K14" s="1">
        <f t="shared" si="0"/>
        <v>4</v>
      </c>
      <c r="L14" s="1">
        <f t="shared" si="0"/>
        <v>4</v>
      </c>
      <c r="M14" s="1">
        <f t="shared" si="0"/>
        <v>5.7</v>
      </c>
      <c r="N14" s="1">
        <f t="shared" si="0"/>
        <v>5.7</v>
      </c>
      <c r="O14" s="1">
        <f t="shared" si="0"/>
        <v>5.7</v>
      </c>
      <c r="P14" s="1">
        <f t="shared" si="0"/>
        <v>5.7</v>
      </c>
      <c r="Q14" s="1">
        <f t="shared" si="0"/>
        <v>5.7</v>
      </c>
      <c r="R14" s="1">
        <f t="shared" si="0"/>
        <v>5.7</v>
      </c>
      <c r="S14" s="1">
        <f t="shared" si="0"/>
        <v>7.7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23"/>
  <sheetViews>
    <sheetView workbookViewId="0">
      <selection activeCell="D19" sqref="D19"/>
    </sheetView>
  </sheetViews>
  <sheetFormatPr baseColWidth="10" defaultColWidth="8.83203125" defaultRowHeight="15" x14ac:dyDescent="0.2"/>
  <cols>
    <col min="1" max="1" width="13" customWidth="1"/>
    <col min="2" max="2" width="19.83203125" customWidth="1"/>
    <col min="3" max="3" width="21" customWidth="1"/>
    <col min="4" max="6" width="13" customWidth="1"/>
    <col min="7" max="7" width="75.6640625" customWidth="1"/>
    <col min="8" max="24" width="13" customWidth="1"/>
  </cols>
  <sheetData>
    <row r="1" spans="1:24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16" x14ac:dyDescent="0.2">
      <c r="A2" s="1">
        <v>2014</v>
      </c>
      <c r="B2" s="1">
        <v>1</v>
      </c>
      <c r="C2" s="1">
        <v>1</v>
      </c>
      <c r="D2" s="1"/>
      <c r="E2" s="1"/>
      <c r="F2" s="1"/>
      <c r="G2" s="1" t="s">
        <v>4</v>
      </c>
      <c r="H2" s="1">
        <v>2014</v>
      </c>
      <c r="I2" s="1">
        <v>2015</v>
      </c>
      <c r="J2" s="1">
        <v>2016</v>
      </c>
      <c r="K2" s="1">
        <v>2017</v>
      </c>
      <c r="L2" s="1">
        <v>2018</v>
      </c>
      <c r="M2" s="1">
        <v>2019</v>
      </c>
      <c r="N2" s="1">
        <v>2020</v>
      </c>
      <c r="O2" s="1">
        <v>2021</v>
      </c>
      <c r="P2" s="1">
        <v>2022</v>
      </c>
      <c r="Q2" s="1">
        <v>2023</v>
      </c>
      <c r="R2" s="1">
        <v>2024</v>
      </c>
      <c r="S2" s="1">
        <v>2025</v>
      </c>
      <c r="T2" s="1">
        <v>2026</v>
      </c>
      <c r="U2" s="1">
        <v>2027</v>
      </c>
      <c r="V2" s="1">
        <v>2028</v>
      </c>
      <c r="W2" s="1">
        <v>2029</v>
      </c>
      <c r="X2" s="1">
        <v>2030</v>
      </c>
    </row>
    <row r="3" spans="1:24" ht="16" x14ac:dyDescent="0.2">
      <c r="A3" s="1">
        <v>2015</v>
      </c>
      <c r="B3" s="1">
        <v>2.2999999999999998</v>
      </c>
      <c r="C3" s="1">
        <v>3.3</v>
      </c>
      <c r="D3" s="1"/>
      <c r="E3" s="1"/>
      <c r="F3" s="1"/>
      <c r="G3" s="1" t="s">
        <v>9</v>
      </c>
      <c r="H3" s="1">
        <v>1</v>
      </c>
      <c r="I3" s="1">
        <v>1</v>
      </c>
      <c r="J3" s="1">
        <v>1</v>
      </c>
      <c r="K3" s="1">
        <v>1</v>
      </c>
      <c r="L3" s="1">
        <v>1</v>
      </c>
      <c r="M3" s="1">
        <v>1</v>
      </c>
      <c r="N3" s="1">
        <v>1</v>
      </c>
      <c r="O3" s="1">
        <v>1</v>
      </c>
      <c r="P3" s="1">
        <v>1</v>
      </c>
      <c r="Q3" s="1">
        <v>1</v>
      </c>
      <c r="R3" s="1">
        <v>1</v>
      </c>
      <c r="S3" s="1">
        <v>1</v>
      </c>
      <c r="T3" s="1">
        <v>1</v>
      </c>
      <c r="U3" s="1">
        <v>1</v>
      </c>
      <c r="V3" s="1">
        <v>1</v>
      </c>
      <c r="W3" s="1">
        <v>1</v>
      </c>
      <c r="X3" s="1">
        <v>1</v>
      </c>
    </row>
    <row r="4" spans="1:24" ht="16" x14ac:dyDescent="0.2">
      <c r="A4" s="1">
        <v>2016</v>
      </c>
      <c r="B4" s="1">
        <v>2.2999999999999998</v>
      </c>
      <c r="C4" s="1">
        <v>5.6</v>
      </c>
      <c r="D4" s="1"/>
      <c r="E4" s="1"/>
      <c r="F4" s="1"/>
      <c r="G4" s="1" t="s">
        <v>10</v>
      </c>
      <c r="H4" s="1"/>
      <c r="I4" s="1">
        <v>1.3</v>
      </c>
      <c r="J4" s="1">
        <v>1.3</v>
      </c>
      <c r="K4" s="1">
        <v>1.3</v>
      </c>
      <c r="L4" s="1">
        <v>1.3</v>
      </c>
      <c r="M4" s="1">
        <v>1.3</v>
      </c>
      <c r="N4" s="1">
        <v>1.3</v>
      </c>
      <c r="O4" s="1">
        <v>1.3</v>
      </c>
      <c r="P4" s="1">
        <v>1.3</v>
      </c>
      <c r="Q4" s="1">
        <v>1.3</v>
      </c>
      <c r="R4" s="1">
        <v>1.3</v>
      </c>
      <c r="S4" s="1">
        <v>1.3</v>
      </c>
      <c r="T4" s="1">
        <v>1.3</v>
      </c>
      <c r="U4" s="1">
        <v>1.3</v>
      </c>
      <c r="V4" s="1">
        <v>1.3</v>
      </c>
      <c r="W4" s="1">
        <v>1.3</v>
      </c>
      <c r="X4" s="1">
        <v>1.3</v>
      </c>
    </row>
    <row r="5" spans="1:24" ht="16" x14ac:dyDescent="0.2">
      <c r="A5" s="1">
        <v>2017</v>
      </c>
      <c r="B5" s="1">
        <v>2.2999999999999998</v>
      </c>
      <c r="C5" s="1">
        <v>7.8999999999999986</v>
      </c>
      <c r="D5" s="1"/>
      <c r="E5" s="1"/>
      <c r="F5" s="1"/>
      <c r="G5" s="1" t="s">
        <v>11</v>
      </c>
      <c r="H5" s="1"/>
      <c r="I5" s="1"/>
      <c r="J5" s="1"/>
      <c r="K5" s="1"/>
      <c r="L5" s="1"/>
      <c r="M5" s="1"/>
      <c r="N5" s="1">
        <v>1.6</v>
      </c>
      <c r="O5" s="1">
        <v>1.6</v>
      </c>
      <c r="P5" s="1">
        <v>1.6</v>
      </c>
      <c r="Q5" s="1">
        <v>1.6</v>
      </c>
      <c r="R5" s="1">
        <v>1.6</v>
      </c>
      <c r="S5" s="1">
        <v>1.6</v>
      </c>
      <c r="T5" s="1">
        <v>1.6</v>
      </c>
      <c r="U5" s="1">
        <v>1.6</v>
      </c>
      <c r="V5" s="1">
        <v>1.6</v>
      </c>
      <c r="W5" s="1">
        <v>1.6</v>
      </c>
      <c r="X5" s="1">
        <v>1.6</v>
      </c>
    </row>
    <row r="6" spans="1:24" ht="16" x14ac:dyDescent="0.2">
      <c r="A6" s="1">
        <v>2018</v>
      </c>
      <c r="B6" s="1">
        <v>2.2999999999999998</v>
      </c>
      <c r="C6" s="1">
        <v>10.199999999999999</v>
      </c>
      <c r="D6" s="1"/>
      <c r="E6" s="1"/>
      <c r="F6" s="1"/>
      <c r="G6" s="1" t="s">
        <v>12</v>
      </c>
      <c r="H6" s="1"/>
      <c r="I6" s="1"/>
      <c r="J6" s="1"/>
      <c r="K6" s="1"/>
      <c r="L6" s="1"/>
      <c r="M6" s="1"/>
      <c r="N6" s="1">
        <v>0.3</v>
      </c>
      <c r="O6" s="1">
        <v>0.3</v>
      </c>
      <c r="P6" s="1">
        <v>0.3</v>
      </c>
      <c r="Q6" s="1">
        <v>0.3</v>
      </c>
      <c r="R6" s="1">
        <v>0.3</v>
      </c>
      <c r="S6" s="1">
        <v>0.3</v>
      </c>
      <c r="T6" s="1">
        <v>0.3</v>
      </c>
      <c r="U6" s="1">
        <v>0.3</v>
      </c>
      <c r="V6" s="1">
        <v>0.3</v>
      </c>
      <c r="W6" s="1">
        <v>0.3</v>
      </c>
      <c r="X6" s="1">
        <v>0.3</v>
      </c>
    </row>
    <row r="7" spans="1:24" ht="16" x14ac:dyDescent="0.2">
      <c r="A7" s="1">
        <v>2019</v>
      </c>
      <c r="B7" s="1">
        <v>2.2999999999999998</v>
      </c>
      <c r="C7" s="1">
        <v>12.5</v>
      </c>
      <c r="D7" s="1"/>
      <c r="E7" s="1"/>
      <c r="F7" s="1"/>
      <c r="G7" s="1" t="s">
        <v>13</v>
      </c>
      <c r="H7" s="1"/>
      <c r="I7" s="1"/>
      <c r="J7" s="1"/>
      <c r="K7" s="1"/>
      <c r="L7" s="1"/>
      <c r="M7" s="1"/>
      <c r="N7" s="1"/>
      <c r="O7" s="1"/>
      <c r="P7" s="1">
        <v>5.3999999999999999E-2</v>
      </c>
      <c r="Q7" s="1">
        <v>5.3999999999999999E-2</v>
      </c>
      <c r="R7" s="1">
        <v>5.3999999999999999E-2</v>
      </c>
      <c r="S7" s="1">
        <v>5.3999999999999999E-2</v>
      </c>
      <c r="T7" s="1">
        <v>5.3999999999999999E-2</v>
      </c>
      <c r="U7" s="1">
        <v>5.3999999999999999E-2</v>
      </c>
      <c r="V7" s="1">
        <v>5.3999999999999999E-2</v>
      </c>
      <c r="W7" s="1">
        <v>5.3999999999999999E-2</v>
      </c>
      <c r="X7" s="1">
        <v>5.3999999999999999E-2</v>
      </c>
    </row>
    <row r="8" spans="1:24" ht="16" x14ac:dyDescent="0.2">
      <c r="A8" s="1">
        <v>2020</v>
      </c>
      <c r="B8" s="1">
        <v>4.2</v>
      </c>
      <c r="C8" s="1">
        <v>16.7</v>
      </c>
      <c r="D8" s="1"/>
      <c r="E8" s="1"/>
      <c r="F8" s="1"/>
      <c r="G8" s="1" t="s">
        <v>14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>
        <v>3.0000000000000001E-3</v>
      </c>
      <c r="T8" s="1">
        <v>3.0000000000000001E-3</v>
      </c>
      <c r="U8" s="1">
        <v>3.0000000000000001E-3</v>
      </c>
      <c r="V8" s="1">
        <v>3.0000000000000001E-3</v>
      </c>
      <c r="W8" s="1">
        <v>3.0000000000000001E-3</v>
      </c>
      <c r="X8" s="1">
        <v>3.0000000000000001E-3</v>
      </c>
    </row>
    <row r="9" spans="1:24" ht="16" x14ac:dyDescent="0.2">
      <c r="A9" s="1">
        <v>2021</v>
      </c>
      <c r="B9" s="1">
        <v>4.2</v>
      </c>
      <c r="C9" s="1">
        <v>20.9</v>
      </c>
      <c r="D9" s="1"/>
      <c r="E9" s="1"/>
      <c r="F9" s="1"/>
      <c r="G9" s="1" t="s">
        <v>15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>
        <v>0.44</v>
      </c>
      <c r="U9" s="1">
        <v>0.44</v>
      </c>
      <c r="V9" s="1">
        <v>0.44</v>
      </c>
      <c r="W9" s="1">
        <v>0.44</v>
      </c>
      <c r="X9" s="1">
        <v>0.44</v>
      </c>
    </row>
    <row r="10" spans="1:24" ht="16" x14ac:dyDescent="0.2">
      <c r="A10" s="1">
        <v>2022</v>
      </c>
      <c r="B10" s="1">
        <v>4.2539999999999996</v>
      </c>
      <c r="C10" s="1">
        <v>25.154</v>
      </c>
      <c r="D10" s="1"/>
      <c r="E10" s="1"/>
      <c r="F10" s="1"/>
      <c r="G10" s="1" t="s">
        <v>16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>
        <v>0.16</v>
      </c>
      <c r="U10" s="1">
        <v>0.16</v>
      </c>
      <c r="V10" s="1">
        <v>0.16</v>
      </c>
      <c r="W10" s="1">
        <v>0.16</v>
      </c>
      <c r="X10" s="1">
        <v>0.16</v>
      </c>
    </row>
    <row r="11" spans="1:24" ht="16" x14ac:dyDescent="0.2">
      <c r="A11" s="1">
        <v>2023</v>
      </c>
      <c r="B11" s="1">
        <v>4.2539999999999996</v>
      </c>
      <c r="C11" s="1">
        <v>29.408000000000001</v>
      </c>
      <c r="D11" s="1"/>
      <c r="E11" s="1"/>
      <c r="F11" s="1"/>
      <c r="G11" s="1" t="s">
        <v>17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>
        <v>2</v>
      </c>
      <c r="U11" s="1">
        <v>2</v>
      </c>
      <c r="V11" s="1">
        <v>2</v>
      </c>
      <c r="W11" s="1">
        <v>2</v>
      </c>
      <c r="X11" s="1">
        <v>2</v>
      </c>
    </row>
    <row r="12" spans="1:24" ht="16" x14ac:dyDescent="0.2">
      <c r="A12" s="1">
        <v>2024</v>
      </c>
      <c r="B12" s="1">
        <v>4.2539999999999996</v>
      </c>
      <c r="C12" s="1">
        <v>33.661999999999999</v>
      </c>
      <c r="D12" s="1"/>
      <c r="E12" s="1"/>
      <c r="F12" s="1"/>
      <c r="G12" s="1" t="s">
        <v>18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>
        <v>3</v>
      </c>
      <c r="V12" s="1">
        <v>3</v>
      </c>
      <c r="W12" s="1">
        <v>3</v>
      </c>
      <c r="X12" s="1">
        <v>3</v>
      </c>
    </row>
    <row r="13" spans="1:24" ht="16" x14ac:dyDescent="0.2">
      <c r="A13" s="1">
        <v>2025</v>
      </c>
      <c r="B13" s="1">
        <v>4.2570000000000006</v>
      </c>
      <c r="C13" s="1">
        <v>37.918999999999997</v>
      </c>
      <c r="D13" s="1"/>
      <c r="E13" s="1"/>
      <c r="F13" s="1"/>
      <c r="G13" s="1" t="s">
        <v>19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>
        <v>0.1</v>
      </c>
      <c r="V13" s="1">
        <v>0.1</v>
      </c>
      <c r="W13" s="1">
        <v>0.1</v>
      </c>
      <c r="X13" s="1">
        <v>0.1</v>
      </c>
    </row>
    <row r="14" spans="1:24" ht="16" x14ac:dyDescent="0.2">
      <c r="A14" s="1">
        <v>2026</v>
      </c>
      <c r="B14" s="1">
        <v>6.8570000000000002</v>
      </c>
      <c r="C14" s="1">
        <v>44.776000000000003</v>
      </c>
      <c r="D14" s="1"/>
      <c r="E14" s="1"/>
      <c r="F14" s="1"/>
      <c r="G14" s="1" t="s">
        <v>20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>
        <v>0.18</v>
      </c>
      <c r="V14" s="1">
        <v>0.18</v>
      </c>
      <c r="W14" s="1">
        <v>0.18</v>
      </c>
      <c r="X14" s="1">
        <v>0.18</v>
      </c>
    </row>
    <row r="15" spans="1:24" ht="16" x14ac:dyDescent="0.2">
      <c r="A15" s="1">
        <v>2027</v>
      </c>
      <c r="B15" s="1">
        <v>10.387</v>
      </c>
      <c r="C15" s="1">
        <v>55.162999999999997</v>
      </c>
      <c r="D15" s="1"/>
      <c r="E15" s="1"/>
      <c r="F15" s="1"/>
      <c r="G15" s="1" t="s">
        <v>21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>
        <v>0.25</v>
      </c>
      <c r="V15" s="1">
        <v>0.25</v>
      </c>
      <c r="W15" s="1">
        <v>0.25</v>
      </c>
      <c r="X15" s="1">
        <v>0.25</v>
      </c>
    </row>
    <row r="16" spans="1:24" ht="16" x14ac:dyDescent="0.2">
      <c r="A16" s="1">
        <v>2028</v>
      </c>
      <c r="B16" s="1">
        <v>15.037000000000001</v>
      </c>
      <c r="C16" s="1">
        <v>70.2</v>
      </c>
      <c r="D16" s="1"/>
      <c r="E16" s="1"/>
      <c r="F16" s="1"/>
      <c r="G16" s="1" t="s">
        <v>22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>
        <v>3</v>
      </c>
      <c r="W16" s="1">
        <v>3</v>
      </c>
      <c r="X16" s="1">
        <v>3</v>
      </c>
    </row>
    <row r="17" spans="1:24" ht="16" x14ac:dyDescent="0.2">
      <c r="A17" s="1">
        <v>2029</v>
      </c>
      <c r="B17" s="1">
        <v>18.937000000000001</v>
      </c>
      <c r="C17" s="1">
        <v>89.137</v>
      </c>
      <c r="D17" s="1"/>
      <c r="E17" s="1"/>
      <c r="F17" s="1"/>
      <c r="G17" s="1" t="s">
        <v>23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>
        <v>1</v>
      </c>
      <c r="W17" s="1">
        <v>1</v>
      </c>
      <c r="X17" s="1">
        <v>1</v>
      </c>
    </row>
    <row r="18" spans="1:24" ht="16" x14ac:dyDescent="0.2">
      <c r="A18" s="1">
        <v>2030</v>
      </c>
      <c r="B18" s="1">
        <v>19.937000000000001</v>
      </c>
      <c r="C18" s="1">
        <v>109.074</v>
      </c>
      <c r="D18" s="1">
        <f>C18/1000</f>
        <v>0.109074</v>
      </c>
      <c r="E18" s="1"/>
      <c r="F18" s="1"/>
      <c r="G18" s="1" t="s">
        <v>24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>
        <v>0.65</v>
      </c>
      <c r="W18" s="1">
        <v>0.65</v>
      </c>
      <c r="X18" s="1">
        <v>0.65</v>
      </c>
    </row>
    <row r="19" spans="1:24" ht="16" x14ac:dyDescent="0.2">
      <c r="A19" s="1"/>
      <c r="B19" s="1"/>
      <c r="C19" s="1"/>
      <c r="D19" s="1"/>
      <c r="E19" s="1"/>
      <c r="F19" s="1"/>
      <c r="G19" s="1" t="s">
        <v>25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>
        <v>0.9</v>
      </c>
      <c r="X19" s="1">
        <v>0.9</v>
      </c>
    </row>
    <row r="20" spans="1:24" ht="16" x14ac:dyDescent="0.2">
      <c r="A20" s="1"/>
      <c r="B20" s="1"/>
      <c r="C20" s="1"/>
      <c r="D20" s="1"/>
      <c r="E20" s="1"/>
      <c r="F20" s="1"/>
      <c r="G20" s="1" t="s">
        <v>26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>
        <v>1</v>
      </c>
      <c r="X20" s="1">
        <v>1</v>
      </c>
    </row>
    <row r="21" spans="1:24" ht="16" x14ac:dyDescent="0.2">
      <c r="A21" s="1"/>
      <c r="B21" s="1"/>
      <c r="C21" s="1"/>
      <c r="D21" s="1"/>
      <c r="E21" s="1"/>
      <c r="F21" s="1"/>
      <c r="G21" s="1" t="s">
        <v>27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>
        <v>2</v>
      </c>
      <c r="X21" s="1">
        <v>2</v>
      </c>
    </row>
    <row r="22" spans="1:24" ht="16" x14ac:dyDescent="0.2">
      <c r="A22" s="1"/>
      <c r="B22" s="1"/>
      <c r="C22" s="1"/>
      <c r="D22" s="1"/>
      <c r="E22" s="1"/>
      <c r="F22" s="1"/>
      <c r="G22" s="1" t="s">
        <v>28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>
        <v>1</v>
      </c>
    </row>
    <row r="23" spans="1:24" ht="16" x14ac:dyDescent="0.2">
      <c r="A23" s="1"/>
      <c r="B23" s="1"/>
      <c r="C23" s="1"/>
      <c r="D23" s="1"/>
      <c r="E23" s="1"/>
      <c r="F23" s="1"/>
      <c r="G23" s="1" t="s">
        <v>8</v>
      </c>
      <c r="H23" s="1">
        <f t="shared" ref="H23:X23" si="0">SUM(H3:H22)</f>
        <v>1</v>
      </c>
      <c r="I23" s="1">
        <f t="shared" si="0"/>
        <v>2.2999999999999998</v>
      </c>
      <c r="J23" s="1">
        <f t="shared" si="0"/>
        <v>2.2999999999999998</v>
      </c>
      <c r="K23" s="1">
        <f t="shared" si="0"/>
        <v>2.2999999999999998</v>
      </c>
      <c r="L23" s="1">
        <f t="shared" si="0"/>
        <v>2.2999999999999998</v>
      </c>
      <c r="M23" s="1">
        <f t="shared" si="0"/>
        <v>2.2999999999999998</v>
      </c>
      <c r="N23" s="1">
        <f t="shared" si="0"/>
        <v>4.2</v>
      </c>
      <c r="O23" s="1">
        <f t="shared" si="0"/>
        <v>4.2</v>
      </c>
      <c r="P23" s="1">
        <f t="shared" si="0"/>
        <v>4.2540000000000004</v>
      </c>
      <c r="Q23" s="1">
        <f t="shared" si="0"/>
        <v>4.2540000000000004</v>
      </c>
      <c r="R23" s="1">
        <f t="shared" si="0"/>
        <v>4.2540000000000004</v>
      </c>
      <c r="S23" s="1">
        <f t="shared" si="0"/>
        <v>4.2570000000000006</v>
      </c>
      <c r="T23" s="1">
        <f t="shared" si="0"/>
        <v>6.8570000000000011</v>
      </c>
      <c r="U23" s="1">
        <f t="shared" si="0"/>
        <v>10.387</v>
      </c>
      <c r="V23" s="1">
        <f t="shared" si="0"/>
        <v>15.037000000000001</v>
      </c>
      <c r="W23" s="1">
        <f t="shared" si="0"/>
        <v>18.937000000000001</v>
      </c>
      <c r="X23" s="1">
        <f t="shared" si="0"/>
        <v>19.937000000000001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30"/>
  <sheetViews>
    <sheetView workbookViewId="0">
      <selection activeCell="D22" sqref="D22"/>
    </sheetView>
  </sheetViews>
  <sheetFormatPr baseColWidth="10" defaultColWidth="8.83203125" defaultRowHeight="15" x14ac:dyDescent="0.2"/>
  <cols>
    <col min="1" max="1" width="13" customWidth="1"/>
    <col min="2" max="2" width="19.83203125" customWidth="1"/>
    <col min="3" max="3" width="21" customWidth="1"/>
    <col min="4" max="6" width="13" customWidth="1"/>
    <col min="7" max="7" width="75.6640625" customWidth="1"/>
    <col min="8" max="26" width="13" customWidth="1"/>
  </cols>
  <sheetData>
    <row r="1" spans="1:26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6" x14ac:dyDescent="0.2">
      <c r="A2" s="1">
        <v>2012</v>
      </c>
      <c r="B2" s="1">
        <v>0.05</v>
      </c>
      <c r="C2" s="1">
        <v>0.05</v>
      </c>
      <c r="D2" s="1"/>
      <c r="E2" s="1"/>
      <c r="F2" s="1"/>
      <c r="G2" s="1" t="s">
        <v>4</v>
      </c>
      <c r="H2" s="1">
        <v>2012</v>
      </c>
      <c r="I2" s="1">
        <v>2013</v>
      </c>
      <c r="J2" s="1">
        <v>2014</v>
      </c>
      <c r="K2" s="1">
        <v>2015</v>
      </c>
      <c r="L2" s="1">
        <v>2016</v>
      </c>
      <c r="M2" s="1">
        <v>2017</v>
      </c>
      <c r="N2" s="1">
        <v>2018</v>
      </c>
      <c r="O2" s="1">
        <v>2019</v>
      </c>
      <c r="P2" s="1">
        <v>2020</v>
      </c>
      <c r="Q2" s="1">
        <v>2021</v>
      </c>
      <c r="R2" s="1">
        <v>2022</v>
      </c>
      <c r="S2" s="1">
        <v>2023</v>
      </c>
      <c r="T2" s="1">
        <v>2024</v>
      </c>
      <c r="U2" s="1">
        <v>2025</v>
      </c>
      <c r="V2" s="1">
        <v>2026</v>
      </c>
      <c r="W2" s="1">
        <v>2027</v>
      </c>
      <c r="X2" s="1">
        <v>2028</v>
      </c>
      <c r="Y2" s="1">
        <v>2029</v>
      </c>
      <c r="Z2" s="1">
        <v>2030</v>
      </c>
    </row>
    <row r="3" spans="1:26" ht="16" x14ac:dyDescent="0.2">
      <c r="A3" s="1">
        <v>2013</v>
      </c>
      <c r="B3" s="1">
        <v>0.05</v>
      </c>
      <c r="C3" s="1">
        <v>0.1</v>
      </c>
      <c r="D3" s="1"/>
      <c r="E3" s="1"/>
      <c r="F3" s="1"/>
      <c r="G3" s="1" t="s">
        <v>29</v>
      </c>
      <c r="H3" s="1">
        <v>0.05</v>
      </c>
      <c r="I3" s="1">
        <v>0.05</v>
      </c>
      <c r="J3" s="1">
        <v>0.05</v>
      </c>
      <c r="K3" s="1">
        <v>0.05</v>
      </c>
      <c r="L3" s="1">
        <v>0.05</v>
      </c>
      <c r="M3" s="1">
        <v>0.05</v>
      </c>
      <c r="N3" s="1">
        <v>0.05</v>
      </c>
      <c r="O3" s="1">
        <v>0.05</v>
      </c>
      <c r="P3" s="1">
        <v>0.05</v>
      </c>
      <c r="Q3" s="1">
        <v>0.05</v>
      </c>
      <c r="R3" s="1">
        <v>0.05</v>
      </c>
      <c r="S3" s="1">
        <v>0.05</v>
      </c>
      <c r="T3" s="1">
        <v>0.05</v>
      </c>
      <c r="U3" s="1">
        <v>0.05</v>
      </c>
      <c r="V3" s="1">
        <v>0.05</v>
      </c>
      <c r="W3" s="1">
        <v>0.05</v>
      </c>
      <c r="X3" s="1">
        <v>0.05</v>
      </c>
      <c r="Y3" s="1">
        <v>0.05</v>
      </c>
      <c r="Z3" s="1">
        <v>0.05</v>
      </c>
    </row>
    <row r="4" spans="1:26" ht="16" x14ac:dyDescent="0.2">
      <c r="A4" s="1">
        <v>2014</v>
      </c>
      <c r="B4" s="1">
        <v>0.05</v>
      </c>
      <c r="C4" s="1">
        <v>0.15</v>
      </c>
      <c r="D4" s="1"/>
      <c r="E4" s="1"/>
      <c r="F4" s="1"/>
      <c r="G4" s="1" t="s">
        <v>30</v>
      </c>
      <c r="H4" s="1"/>
      <c r="I4" s="1"/>
      <c r="J4" s="1"/>
      <c r="K4" s="1">
        <v>0.6</v>
      </c>
      <c r="L4" s="1">
        <v>0.6</v>
      </c>
      <c r="M4" s="1">
        <v>0.6</v>
      </c>
      <c r="N4" s="1">
        <v>0.6</v>
      </c>
      <c r="O4" s="1">
        <v>0.6</v>
      </c>
      <c r="P4" s="1">
        <v>0.6</v>
      </c>
      <c r="Q4" s="1">
        <v>0.6</v>
      </c>
      <c r="R4" s="1">
        <v>0.6</v>
      </c>
      <c r="S4" s="1">
        <v>0.6</v>
      </c>
      <c r="T4" s="1">
        <v>0.6</v>
      </c>
      <c r="U4" s="1">
        <v>0.6</v>
      </c>
      <c r="V4" s="1">
        <v>0.6</v>
      </c>
      <c r="W4" s="1">
        <v>0.6</v>
      </c>
      <c r="X4" s="1">
        <v>0.6</v>
      </c>
      <c r="Y4" s="1">
        <v>0.6</v>
      </c>
      <c r="Z4" s="1">
        <v>0.6</v>
      </c>
    </row>
    <row r="5" spans="1:26" ht="16" x14ac:dyDescent="0.2">
      <c r="A5" s="1">
        <v>2015</v>
      </c>
      <c r="B5" s="1">
        <v>0.75</v>
      </c>
      <c r="C5" s="1">
        <v>0.9</v>
      </c>
      <c r="D5" s="1"/>
      <c r="E5" s="1"/>
      <c r="F5" s="1"/>
      <c r="G5" s="1" t="s">
        <v>31</v>
      </c>
      <c r="H5" s="1"/>
      <c r="I5" s="1"/>
      <c r="J5" s="1"/>
      <c r="K5" s="1">
        <v>0.1</v>
      </c>
      <c r="L5" s="1">
        <v>0.1</v>
      </c>
      <c r="M5" s="1">
        <v>0.1</v>
      </c>
      <c r="N5" s="1">
        <v>0.1</v>
      </c>
      <c r="O5" s="1">
        <v>0.1</v>
      </c>
      <c r="P5" s="1">
        <v>0.1</v>
      </c>
      <c r="Q5" s="1">
        <v>0.1</v>
      </c>
      <c r="R5" s="1">
        <v>0.1</v>
      </c>
      <c r="S5" s="1">
        <v>0.1</v>
      </c>
      <c r="T5" s="1">
        <v>0.1</v>
      </c>
      <c r="U5" s="1">
        <v>0.1</v>
      </c>
      <c r="V5" s="1">
        <v>0.1</v>
      </c>
      <c r="W5" s="1">
        <v>0.1</v>
      </c>
      <c r="X5" s="1">
        <v>0.1</v>
      </c>
      <c r="Y5" s="1">
        <v>0.1</v>
      </c>
      <c r="Z5" s="1">
        <v>0.1</v>
      </c>
    </row>
    <row r="6" spans="1:26" ht="16" x14ac:dyDescent="0.2">
      <c r="A6" s="1">
        <v>2016</v>
      </c>
      <c r="B6" s="1">
        <v>0.75</v>
      </c>
      <c r="C6" s="1">
        <v>1.65</v>
      </c>
      <c r="D6" s="1"/>
      <c r="E6" s="1"/>
      <c r="F6" s="1"/>
      <c r="G6" s="1" t="s">
        <v>32</v>
      </c>
      <c r="H6" s="1"/>
      <c r="I6" s="1"/>
      <c r="J6" s="1"/>
      <c r="K6" s="1"/>
      <c r="L6" s="1"/>
      <c r="M6" s="1"/>
      <c r="N6" s="1"/>
      <c r="O6" s="1"/>
      <c r="P6" s="1"/>
      <c r="Q6" s="1">
        <v>0.15</v>
      </c>
      <c r="R6" s="1">
        <v>0.15</v>
      </c>
      <c r="S6" s="1">
        <v>0.15</v>
      </c>
      <c r="T6" s="1">
        <v>0.15</v>
      </c>
      <c r="U6" s="1">
        <v>0.15</v>
      </c>
      <c r="V6" s="1">
        <v>0.15</v>
      </c>
      <c r="W6" s="1">
        <v>0.15</v>
      </c>
      <c r="X6" s="1">
        <v>0.15</v>
      </c>
      <c r="Y6" s="1">
        <v>0.15</v>
      </c>
      <c r="Z6" s="1">
        <v>0.15</v>
      </c>
    </row>
    <row r="7" spans="1:26" ht="16" x14ac:dyDescent="0.2">
      <c r="A7" s="1">
        <v>2017</v>
      </c>
      <c r="B7" s="1">
        <v>0.75</v>
      </c>
      <c r="C7" s="1">
        <v>2.4</v>
      </c>
      <c r="D7" s="1"/>
      <c r="E7" s="1"/>
      <c r="F7" s="1"/>
      <c r="G7" s="1" t="s">
        <v>33</v>
      </c>
      <c r="H7" s="1"/>
      <c r="I7" s="1"/>
      <c r="J7" s="1"/>
      <c r="K7" s="1"/>
      <c r="L7" s="1"/>
      <c r="M7" s="1"/>
      <c r="N7" s="1"/>
      <c r="O7" s="1"/>
      <c r="P7" s="1"/>
      <c r="Q7" s="1">
        <v>0.2</v>
      </c>
      <c r="R7" s="1">
        <v>0.2</v>
      </c>
      <c r="S7" s="1">
        <v>0.2</v>
      </c>
      <c r="T7" s="1">
        <v>0.2</v>
      </c>
      <c r="U7" s="1">
        <v>0.2</v>
      </c>
      <c r="V7" s="1">
        <v>0.2</v>
      </c>
      <c r="W7" s="1">
        <v>0.2</v>
      </c>
      <c r="X7" s="1">
        <v>0.2</v>
      </c>
      <c r="Y7" s="1">
        <v>0.2</v>
      </c>
      <c r="Z7" s="1">
        <v>0.2</v>
      </c>
    </row>
    <row r="8" spans="1:26" ht="16" x14ac:dyDescent="0.2">
      <c r="A8" s="1">
        <v>2018</v>
      </c>
      <c r="B8" s="1">
        <v>0.75</v>
      </c>
      <c r="C8" s="1">
        <v>3.15</v>
      </c>
      <c r="D8" s="1"/>
      <c r="E8" s="1"/>
      <c r="F8" s="1"/>
      <c r="G8" s="1" t="s">
        <v>34</v>
      </c>
      <c r="H8" s="1"/>
      <c r="I8" s="1"/>
      <c r="J8" s="1"/>
      <c r="K8" s="1"/>
      <c r="L8" s="1"/>
      <c r="M8" s="1"/>
      <c r="N8" s="1"/>
      <c r="O8" s="1"/>
      <c r="P8" s="1"/>
      <c r="Q8" s="1">
        <v>0.1</v>
      </c>
      <c r="R8" s="1">
        <v>0.1</v>
      </c>
      <c r="S8" s="1">
        <v>0.1</v>
      </c>
      <c r="T8" s="1">
        <v>0.1</v>
      </c>
      <c r="U8" s="1">
        <v>0.1</v>
      </c>
      <c r="V8" s="1">
        <v>0.1</v>
      </c>
      <c r="W8" s="1">
        <v>0.1</v>
      </c>
      <c r="X8" s="1">
        <v>0.1</v>
      </c>
      <c r="Y8" s="1">
        <v>0.1</v>
      </c>
      <c r="Z8" s="1">
        <v>0.1</v>
      </c>
    </row>
    <row r="9" spans="1:26" ht="16" x14ac:dyDescent="0.2">
      <c r="A9" s="1">
        <v>2019</v>
      </c>
      <c r="B9" s="1">
        <v>0.75</v>
      </c>
      <c r="C9" s="1">
        <v>3.9</v>
      </c>
      <c r="D9" s="1"/>
      <c r="E9" s="1"/>
      <c r="F9" s="1"/>
      <c r="G9" s="1" t="s">
        <v>35</v>
      </c>
      <c r="H9" s="1"/>
      <c r="I9" s="1"/>
      <c r="J9" s="1"/>
      <c r="K9" s="1"/>
      <c r="L9" s="1"/>
      <c r="M9" s="1"/>
      <c r="N9" s="1"/>
      <c r="O9" s="1"/>
      <c r="P9" s="1"/>
      <c r="Q9" s="1"/>
      <c r="R9" s="1">
        <v>1</v>
      </c>
      <c r="S9" s="1">
        <v>1</v>
      </c>
      <c r="T9" s="1">
        <v>1</v>
      </c>
      <c r="U9" s="1">
        <v>1</v>
      </c>
      <c r="V9" s="1">
        <v>1</v>
      </c>
      <c r="W9" s="1">
        <v>1</v>
      </c>
      <c r="X9" s="1">
        <v>1</v>
      </c>
      <c r="Y9" s="1">
        <v>1</v>
      </c>
      <c r="Z9" s="1">
        <v>1</v>
      </c>
    </row>
    <row r="10" spans="1:26" ht="16" x14ac:dyDescent="0.2">
      <c r="A10" s="1">
        <v>2020</v>
      </c>
      <c r="B10" s="1">
        <v>0.75</v>
      </c>
      <c r="C10" s="1">
        <v>4.6500000000000004</v>
      </c>
      <c r="D10" s="1"/>
      <c r="E10" s="1"/>
      <c r="F10" s="1"/>
      <c r="G10" s="1" t="s">
        <v>36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>
        <v>0.3</v>
      </c>
      <c r="S10" s="1">
        <v>0.3</v>
      </c>
      <c r="T10" s="1">
        <v>0.3</v>
      </c>
      <c r="U10" s="1">
        <v>0.3</v>
      </c>
      <c r="V10" s="1">
        <v>0.3</v>
      </c>
      <c r="W10" s="1">
        <v>0.3</v>
      </c>
      <c r="X10" s="1">
        <v>0.3</v>
      </c>
      <c r="Y10" s="1">
        <v>0.3</v>
      </c>
      <c r="Z10" s="1">
        <v>0.3</v>
      </c>
    </row>
    <row r="11" spans="1:26" ht="16" x14ac:dyDescent="0.2">
      <c r="A11" s="1">
        <v>2021</v>
      </c>
      <c r="B11" s="1">
        <v>1.2</v>
      </c>
      <c r="C11" s="1">
        <v>5.85</v>
      </c>
      <c r="D11" s="1"/>
      <c r="E11" s="1"/>
      <c r="F11" s="1"/>
      <c r="G11" s="1" t="s">
        <v>37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>
        <v>0.3</v>
      </c>
      <c r="T11" s="1">
        <v>0.3</v>
      </c>
      <c r="U11" s="1">
        <v>0.3</v>
      </c>
      <c r="V11" s="1">
        <v>0.3</v>
      </c>
      <c r="W11" s="1">
        <v>0.3</v>
      </c>
      <c r="X11" s="1">
        <v>0.3</v>
      </c>
      <c r="Y11" s="1">
        <v>0.3</v>
      </c>
      <c r="Z11" s="1">
        <v>0.3</v>
      </c>
    </row>
    <row r="12" spans="1:26" ht="16" x14ac:dyDescent="0.2">
      <c r="A12" s="1">
        <v>2022</v>
      </c>
      <c r="B12" s="1">
        <v>2.5</v>
      </c>
      <c r="C12" s="1">
        <v>8.35</v>
      </c>
      <c r="D12" s="1"/>
      <c r="E12" s="1"/>
      <c r="F12" s="1"/>
      <c r="G12" s="1" t="s">
        <v>38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>
        <v>0.5</v>
      </c>
      <c r="T12" s="1">
        <v>0.5</v>
      </c>
      <c r="U12" s="1">
        <v>0.5</v>
      </c>
      <c r="V12" s="1">
        <v>0.5</v>
      </c>
      <c r="W12" s="1">
        <v>0.5</v>
      </c>
      <c r="X12" s="1">
        <v>0.5</v>
      </c>
      <c r="Y12" s="1">
        <v>0.5</v>
      </c>
      <c r="Z12" s="1">
        <v>0.5</v>
      </c>
    </row>
    <row r="13" spans="1:26" ht="16" x14ac:dyDescent="0.2">
      <c r="A13" s="1">
        <v>2023</v>
      </c>
      <c r="B13" s="1">
        <v>4.1020000000000003</v>
      </c>
      <c r="C13" s="1">
        <v>12.452</v>
      </c>
      <c r="D13" s="1"/>
      <c r="E13" s="1"/>
      <c r="F13" s="1"/>
      <c r="G13" s="1" t="s">
        <v>39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>
        <v>0.3</v>
      </c>
      <c r="T13" s="1">
        <v>0.3</v>
      </c>
      <c r="U13" s="1">
        <v>0.3</v>
      </c>
      <c r="V13" s="1">
        <v>0.3</v>
      </c>
      <c r="W13" s="1">
        <v>0.3</v>
      </c>
      <c r="X13" s="1">
        <v>0.3</v>
      </c>
      <c r="Y13" s="1">
        <v>0.3</v>
      </c>
      <c r="Z13" s="1">
        <v>0.3</v>
      </c>
    </row>
    <row r="14" spans="1:26" ht="16" x14ac:dyDescent="0.2">
      <c r="A14" s="1">
        <v>2024</v>
      </c>
      <c r="B14" s="1">
        <v>5.1020000000000003</v>
      </c>
      <c r="C14" s="1">
        <v>17.553999999999998</v>
      </c>
      <c r="D14" s="1"/>
      <c r="E14" s="1"/>
      <c r="F14" s="1"/>
      <c r="G14" s="1" t="s">
        <v>40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>
        <v>0.1</v>
      </c>
      <c r="T14" s="1">
        <v>0.1</v>
      </c>
      <c r="U14" s="1">
        <v>0.1</v>
      </c>
      <c r="V14" s="1">
        <v>0.1</v>
      </c>
      <c r="W14" s="1">
        <v>0.1</v>
      </c>
      <c r="X14" s="1">
        <v>0.1</v>
      </c>
      <c r="Y14" s="1">
        <v>0.1</v>
      </c>
      <c r="Z14" s="1">
        <v>0.1</v>
      </c>
    </row>
    <row r="15" spans="1:26" ht="16" x14ac:dyDescent="0.2">
      <c r="A15" s="1">
        <v>2025</v>
      </c>
      <c r="B15" s="1">
        <v>7.0019999999999998</v>
      </c>
      <c r="C15" s="1">
        <v>24.556000000000001</v>
      </c>
      <c r="D15" s="1"/>
      <c r="E15" s="1"/>
      <c r="F15" s="1"/>
      <c r="G15" s="1" t="s">
        <v>41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>
        <v>2E-3</v>
      </c>
      <c r="T15" s="1">
        <v>2E-3</v>
      </c>
      <c r="U15" s="1">
        <v>2E-3</v>
      </c>
      <c r="V15" s="1">
        <v>2E-3</v>
      </c>
      <c r="W15" s="1">
        <v>2E-3</v>
      </c>
      <c r="X15" s="1">
        <v>2E-3</v>
      </c>
      <c r="Y15" s="1">
        <v>2E-3</v>
      </c>
      <c r="Z15" s="1">
        <v>2E-3</v>
      </c>
    </row>
    <row r="16" spans="1:26" ht="16" x14ac:dyDescent="0.2">
      <c r="A16" s="1">
        <v>2026</v>
      </c>
      <c r="B16" s="1">
        <v>9.0619999999999994</v>
      </c>
      <c r="C16" s="1">
        <v>33.618000000000002</v>
      </c>
      <c r="D16" s="1"/>
      <c r="E16" s="1"/>
      <c r="F16" s="1"/>
      <c r="G16" s="1" t="s">
        <v>42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>
        <v>0.1</v>
      </c>
      <c r="T16" s="1">
        <v>0.1</v>
      </c>
      <c r="U16" s="1">
        <v>0.1</v>
      </c>
      <c r="V16" s="1">
        <v>0.1</v>
      </c>
      <c r="W16" s="1">
        <v>0.1</v>
      </c>
      <c r="X16" s="1">
        <v>0.1</v>
      </c>
      <c r="Y16" s="1">
        <v>0.1</v>
      </c>
      <c r="Z16" s="1">
        <v>0.1</v>
      </c>
    </row>
    <row r="17" spans="1:26" ht="16" x14ac:dyDescent="0.2">
      <c r="A17" s="1">
        <v>2027</v>
      </c>
      <c r="B17" s="1">
        <v>9.0619999999999994</v>
      </c>
      <c r="C17" s="1">
        <v>42.68</v>
      </c>
      <c r="D17" s="1"/>
      <c r="E17" s="1"/>
      <c r="F17" s="1"/>
      <c r="G17" s="1" t="s">
        <v>43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>
        <v>0.3</v>
      </c>
      <c r="T17" s="1">
        <v>0.3</v>
      </c>
      <c r="U17" s="1">
        <v>0.3</v>
      </c>
      <c r="V17" s="1">
        <v>0.3</v>
      </c>
      <c r="W17" s="1">
        <v>0.3</v>
      </c>
      <c r="X17" s="1">
        <v>0.3</v>
      </c>
      <c r="Y17" s="1">
        <v>0.3</v>
      </c>
      <c r="Z17" s="1">
        <v>0.3</v>
      </c>
    </row>
    <row r="18" spans="1:26" ht="16" x14ac:dyDescent="0.2">
      <c r="A18" s="1">
        <v>2028</v>
      </c>
      <c r="B18" s="1">
        <v>9.0619999999999994</v>
      </c>
      <c r="C18" s="1">
        <v>51.741999999999997</v>
      </c>
      <c r="D18" s="1"/>
      <c r="E18" s="1"/>
      <c r="F18" s="1"/>
      <c r="G18" s="1" t="s">
        <v>44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>
        <v>0.1</v>
      </c>
      <c r="U18" s="1">
        <v>0.1</v>
      </c>
      <c r="V18" s="1">
        <v>0.1</v>
      </c>
      <c r="W18" s="1">
        <v>0.1</v>
      </c>
      <c r="X18" s="1">
        <v>0.1</v>
      </c>
      <c r="Y18" s="1">
        <v>0.1</v>
      </c>
      <c r="Z18" s="1">
        <v>0.1</v>
      </c>
    </row>
    <row r="19" spans="1:26" ht="16" x14ac:dyDescent="0.2">
      <c r="A19" s="1">
        <v>2029</v>
      </c>
      <c r="B19" s="1">
        <v>9.0619999999999994</v>
      </c>
      <c r="C19" s="1">
        <v>60.803999999999988</v>
      </c>
      <c r="D19" s="1"/>
      <c r="E19" s="1"/>
      <c r="F19" s="1"/>
      <c r="G19" s="1" t="s">
        <v>45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>
        <v>0.2</v>
      </c>
      <c r="U19" s="1">
        <v>0.2</v>
      </c>
      <c r="V19" s="1">
        <v>0.2</v>
      </c>
      <c r="W19" s="1">
        <v>0.2</v>
      </c>
      <c r="X19" s="1">
        <v>0.2</v>
      </c>
      <c r="Y19" s="1">
        <v>0.2</v>
      </c>
      <c r="Z19" s="1">
        <v>0.2</v>
      </c>
    </row>
    <row r="20" spans="1:26" ht="16" x14ac:dyDescent="0.2">
      <c r="A20" s="1">
        <v>2030</v>
      </c>
      <c r="B20" s="1">
        <v>9.0619999999999994</v>
      </c>
      <c r="C20" s="1">
        <v>69.866</v>
      </c>
      <c r="D20" s="1">
        <f>C20/1000</f>
        <v>6.9865999999999998E-2</v>
      </c>
      <c r="E20" s="1"/>
      <c r="F20" s="1"/>
      <c r="G20" s="1" t="s">
        <v>46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>
        <v>0.5</v>
      </c>
      <c r="U20" s="1">
        <v>0.5</v>
      </c>
      <c r="V20" s="1">
        <v>0.5</v>
      </c>
      <c r="W20" s="1">
        <v>0.5</v>
      </c>
      <c r="X20" s="1">
        <v>0.5</v>
      </c>
      <c r="Y20" s="1">
        <v>0.5</v>
      </c>
      <c r="Z20" s="1">
        <v>0.5</v>
      </c>
    </row>
    <row r="21" spans="1:26" ht="16" x14ac:dyDescent="0.2">
      <c r="A21" s="1"/>
      <c r="B21" s="1"/>
      <c r="C21" s="1"/>
      <c r="D21" s="1"/>
      <c r="E21" s="1"/>
      <c r="F21" s="1"/>
      <c r="G21" s="1" t="s">
        <v>47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>
        <v>0.2</v>
      </c>
      <c r="U21" s="1">
        <v>0.2</v>
      </c>
      <c r="V21" s="1">
        <v>0.2</v>
      </c>
      <c r="W21" s="1">
        <v>0.2</v>
      </c>
      <c r="X21" s="1">
        <v>0.2</v>
      </c>
      <c r="Y21" s="1">
        <v>0.2</v>
      </c>
      <c r="Z21" s="1">
        <v>0.2</v>
      </c>
    </row>
    <row r="22" spans="1:26" ht="16" x14ac:dyDescent="0.2">
      <c r="A22" s="1"/>
      <c r="B22" s="1"/>
      <c r="C22" s="1"/>
      <c r="D22" s="1"/>
      <c r="E22" s="1"/>
      <c r="F22" s="1"/>
      <c r="G22" s="1" t="s">
        <v>48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>
        <v>0.1</v>
      </c>
      <c r="V22" s="1">
        <v>0.1</v>
      </c>
      <c r="W22" s="1">
        <v>0.1</v>
      </c>
      <c r="X22" s="1">
        <v>0.1</v>
      </c>
      <c r="Y22" s="1">
        <v>0.1</v>
      </c>
      <c r="Z22" s="1">
        <v>0.1</v>
      </c>
    </row>
    <row r="23" spans="1:26" ht="16" x14ac:dyDescent="0.2">
      <c r="A23" s="1"/>
      <c r="B23" s="1"/>
      <c r="C23" s="1"/>
      <c r="D23" s="1"/>
      <c r="E23" s="1"/>
      <c r="F23" s="1"/>
      <c r="G23" s="1" t="s">
        <v>49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>
        <v>0.2</v>
      </c>
      <c r="V23" s="1">
        <v>0.2</v>
      </c>
      <c r="W23" s="1">
        <v>0.2</v>
      </c>
      <c r="X23" s="1">
        <v>0.2</v>
      </c>
      <c r="Y23" s="1">
        <v>0.2</v>
      </c>
      <c r="Z23" s="1">
        <v>0.2</v>
      </c>
    </row>
    <row r="24" spans="1:26" ht="16" x14ac:dyDescent="0.2">
      <c r="A24" s="1"/>
      <c r="B24" s="1"/>
      <c r="C24" s="1"/>
      <c r="D24" s="1"/>
      <c r="E24" s="1"/>
      <c r="F24" s="1"/>
      <c r="G24" s="1" t="s">
        <v>50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>
        <v>0.1</v>
      </c>
      <c r="V24" s="1">
        <v>0.1</v>
      </c>
      <c r="W24" s="1">
        <v>0.1</v>
      </c>
      <c r="X24" s="1">
        <v>0.1</v>
      </c>
      <c r="Y24" s="1">
        <v>0.1</v>
      </c>
      <c r="Z24" s="1">
        <v>0.1</v>
      </c>
    </row>
    <row r="25" spans="1:26" ht="16" x14ac:dyDescent="0.2">
      <c r="A25" s="1"/>
      <c r="B25" s="1"/>
      <c r="C25" s="1"/>
      <c r="D25" s="1"/>
      <c r="E25" s="1"/>
      <c r="F25" s="1"/>
      <c r="G25" s="1" t="s">
        <v>51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>
        <v>1.5</v>
      </c>
      <c r="V25" s="1">
        <v>1.5</v>
      </c>
      <c r="W25" s="1">
        <v>1.5</v>
      </c>
      <c r="X25" s="1">
        <v>1.5</v>
      </c>
      <c r="Y25" s="1">
        <v>1.5</v>
      </c>
      <c r="Z25" s="1">
        <v>1.5</v>
      </c>
    </row>
    <row r="26" spans="1:26" ht="16" x14ac:dyDescent="0.2">
      <c r="A26" s="1"/>
      <c r="B26" s="1"/>
      <c r="C26" s="1"/>
      <c r="D26" s="1"/>
      <c r="E26" s="1"/>
      <c r="F26" s="1"/>
      <c r="G26" s="1" t="s">
        <v>52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>
        <v>0.5</v>
      </c>
      <c r="W26" s="1">
        <v>0.5</v>
      </c>
      <c r="X26" s="1">
        <v>0.5</v>
      </c>
      <c r="Y26" s="1">
        <v>0.5</v>
      </c>
      <c r="Z26" s="1">
        <v>0.5</v>
      </c>
    </row>
    <row r="27" spans="1:26" ht="16" x14ac:dyDescent="0.2">
      <c r="A27" s="1"/>
      <c r="B27" s="1"/>
      <c r="C27" s="1"/>
      <c r="D27" s="1"/>
      <c r="E27" s="1"/>
      <c r="F27" s="1"/>
      <c r="G27" s="1" t="s">
        <v>53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>
        <v>1</v>
      </c>
      <c r="W27" s="1">
        <v>1</v>
      </c>
      <c r="X27" s="1">
        <v>1</v>
      </c>
      <c r="Y27" s="1">
        <v>1</v>
      </c>
      <c r="Z27" s="1">
        <v>1</v>
      </c>
    </row>
    <row r="28" spans="1:26" ht="16" x14ac:dyDescent="0.2">
      <c r="A28" s="1"/>
      <c r="B28" s="1"/>
      <c r="C28" s="1"/>
      <c r="D28" s="1"/>
      <c r="E28" s="1"/>
      <c r="F28" s="1"/>
      <c r="G28" s="1" t="s">
        <v>54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>
        <v>0.5</v>
      </c>
      <c r="W28" s="1">
        <v>0.5</v>
      </c>
      <c r="X28" s="1">
        <v>0.5</v>
      </c>
      <c r="Y28" s="1">
        <v>0.5</v>
      </c>
      <c r="Z28" s="1">
        <v>0.5</v>
      </c>
    </row>
    <row r="29" spans="1:26" ht="16" x14ac:dyDescent="0.2">
      <c r="A29" s="1"/>
      <c r="B29" s="1"/>
      <c r="C29" s="1"/>
      <c r="D29" s="1"/>
      <c r="E29" s="1"/>
      <c r="F29" s="1"/>
      <c r="G29" s="1" t="s">
        <v>55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>
        <v>0.06</v>
      </c>
      <c r="W29" s="1">
        <v>0.06</v>
      </c>
      <c r="X29" s="1">
        <v>0.06</v>
      </c>
      <c r="Y29" s="1">
        <v>0.06</v>
      </c>
      <c r="Z29" s="1">
        <v>0.06</v>
      </c>
    </row>
    <row r="30" spans="1:26" ht="16" x14ac:dyDescent="0.2">
      <c r="A30" s="1"/>
      <c r="B30" s="1"/>
      <c r="C30" s="1"/>
      <c r="D30" s="1"/>
      <c r="E30" s="1"/>
      <c r="F30" s="1"/>
      <c r="G30" s="1" t="s">
        <v>8</v>
      </c>
      <c r="H30" s="1">
        <f t="shared" ref="H30:Z30" si="0">SUM(H3:H29)</f>
        <v>0.05</v>
      </c>
      <c r="I30" s="1">
        <f t="shared" si="0"/>
        <v>0.05</v>
      </c>
      <c r="J30" s="1">
        <f t="shared" si="0"/>
        <v>0.05</v>
      </c>
      <c r="K30" s="1">
        <f t="shared" si="0"/>
        <v>0.75</v>
      </c>
      <c r="L30" s="1">
        <f t="shared" si="0"/>
        <v>0.75</v>
      </c>
      <c r="M30" s="1">
        <f t="shared" si="0"/>
        <v>0.75</v>
      </c>
      <c r="N30" s="1">
        <f t="shared" si="0"/>
        <v>0.75</v>
      </c>
      <c r="O30" s="1">
        <f t="shared" si="0"/>
        <v>0.75</v>
      </c>
      <c r="P30" s="1">
        <f t="shared" si="0"/>
        <v>0.75</v>
      </c>
      <c r="Q30" s="1">
        <f t="shared" si="0"/>
        <v>1.2000000000000002</v>
      </c>
      <c r="R30" s="1">
        <f t="shared" si="0"/>
        <v>2.5</v>
      </c>
      <c r="S30" s="1">
        <f t="shared" si="0"/>
        <v>4.1019999999999994</v>
      </c>
      <c r="T30" s="1">
        <f t="shared" si="0"/>
        <v>5.1019999999999994</v>
      </c>
      <c r="U30" s="1">
        <f t="shared" si="0"/>
        <v>7.0019999999999989</v>
      </c>
      <c r="V30" s="1">
        <f t="shared" si="0"/>
        <v>9.0619999999999994</v>
      </c>
      <c r="W30" s="1">
        <f t="shared" si="0"/>
        <v>9.0619999999999994</v>
      </c>
      <c r="X30" s="1">
        <f t="shared" si="0"/>
        <v>9.0619999999999994</v>
      </c>
      <c r="Y30" s="1">
        <f t="shared" si="0"/>
        <v>9.0619999999999994</v>
      </c>
      <c r="Z30" s="1">
        <f t="shared" si="0"/>
        <v>9.0619999999999994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T61"/>
  <sheetViews>
    <sheetView workbookViewId="0">
      <selection activeCell="D41" sqref="D41"/>
    </sheetView>
  </sheetViews>
  <sheetFormatPr baseColWidth="10" defaultColWidth="8.83203125" defaultRowHeight="15" x14ac:dyDescent="0.2"/>
  <cols>
    <col min="1" max="1" width="13" customWidth="1"/>
    <col min="2" max="2" width="19.83203125" customWidth="1"/>
    <col min="3" max="3" width="21" customWidth="1"/>
    <col min="4" max="6" width="13" customWidth="1"/>
    <col min="7" max="7" width="75.6640625" customWidth="1"/>
    <col min="8" max="46" width="13" customWidth="1"/>
  </cols>
  <sheetData>
    <row r="1" spans="1:46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2" spans="1:46" ht="16" x14ac:dyDescent="0.2">
      <c r="A2" s="1">
        <v>1992</v>
      </c>
      <c r="B2" s="1">
        <v>0.2</v>
      </c>
      <c r="C2" s="1">
        <v>0.2</v>
      </c>
      <c r="D2" s="1"/>
      <c r="E2" s="1"/>
      <c r="F2" s="1"/>
      <c r="G2" s="1" t="s">
        <v>4</v>
      </c>
      <c r="H2" s="1">
        <v>1992</v>
      </c>
      <c r="I2" s="1">
        <v>1993</v>
      </c>
      <c r="J2" s="1">
        <v>1994</v>
      </c>
      <c r="K2" s="1">
        <v>1995</v>
      </c>
      <c r="L2" s="1">
        <v>1996</v>
      </c>
      <c r="M2" s="1">
        <v>1997</v>
      </c>
      <c r="N2" s="1">
        <v>1998</v>
      </c>
      <c r="O2" s="1">
        <v>1999</v>
      </c>
      <c r="P2" s="1">
        <v>2000</v>
      </c>
      <c r="Q2" s="1">
        <v>2001</v>
      </c>
      <c r="R2" s="1">
        <v>2002</v>
      </c>
      <c r="S2" s="1">
        <v>2003</v>
      </c>
      <c r="T2" s="1">
        <v>2004</v>
      </c>
      <c r="U2" s="1">
        <v>2005</v>
      </c>
      <c r="V2" s="1">
        <v>2006</v>
      </c>
      <c r="W2" s="1">
        <v>2007</v>
      </c>
      <c r="X2" s="1">
        <v>2008</v>
      </c>
      <c r="Y2" s="1">
        <v>2009</v>
      </c>
      <c r="Z2" s="1">
        <v>2010</v>
      </c>
      <c r="AA2" s="1">
        <v>2011</v>
      </c>
      <c r="AB2" s="1">
        <v>2012</v>
      </c>
      <c r="AC2" s="1">
        <v>2013</v>
      </c>
      <c r="AD2" s="1">
        <v>2014</v>
      </c>
      <c r="AE2" s="1">
        <v>2015</v>
      </c>
      <c r="AF2" s="1">
        <v>2016</v>
      </c>
      <c r="AG2" s="1">
        <v>2017</v>
      </c>
      <c r="AH2" s="1">
        <v>2018</v>
      </c>
      <c r="AI2" s="1">
        <v>2019</v>
      </c>
      <c r="AJ2" s="1">
        <v>2020</v>
      </c>
      <c r="AK2" s="1">
        <v>2021</v>
      </c>
      <c r="AL2" s="1">
        <v>2022</v>
      </c>
      <c r="AM2" s="1">
        <v>2023</v>
      </c>
      <c r="AN2" s="1">
        <v>2024</v>
      </c>
      <c r="AO2" s="1">
        <v>2025</v>
      </c>
      <c r="AP2" s="1">
        <v>2026</v>
      </c>
      <c r="AQ2" s="1">
        <v>2027</v>
      </c>
      <c r="AR2" s="1">
        <v>2028</v>
      </c>
      <c r="AS2" s="1">
        <v>2029</v>
      </c>
      <c r="AT2" s="1">
        <v>2030</v>
      </c>
    </row>
    <row r="3" spans="1:46" ht="16" x14ac:dyDescent="0.2">
      <c r="A3" s="1">
        <v>1993</v>
      </c>
      <c r="B3" s="1">
        <v>0.2</v>
      </c>
      <c r="C3" s="1">
        <v>0.4</v>
      </c>
      <c r="D3" s="1"/>
      <c r="E3" s="1"/>
      <c r="F3" s="1"/>
      <c r="G3" s="1" t="s">
        <v>56</v>
      </c>
      <c r="H3" s="1">
        <v>0.2</v>
      </c>
      <c r="I3" s="1">
        <v>0.2</v>
      </c>
      <c r="J3" s="1">
        <v>0.2</v>
      </c>
      <c r="K3" s="1">
        <v>0.2</v>
      </c>
      <c r="L3" s="1">
        <v>0.2</v>
      </c>
      <c r="M3" s="1">
        <v>0.2</v>
      </c>
      <c r="N3" s="1">
        <v>0.2</v>
      </c>
      <c r="O3" s="1">
        <v>0.2</v>
      </c>
      <c r="P3" s="1">
        <v>0.2</v>
      </c>
      <c r="Q3" s="1">
        <v>0.2</v>
      </c>
      <c r="R3" s="1">
        <v>0.2</v>
      </c>
      <c r="S3" s="1">
        <v>0.2</v>
      </c>
      <c r="T3" s="1">
        <v>0.2</v>
      </c>
      <c r="U3" s="1">
        <v>0.2</v>
      </c>
      <c r="V3" s="1">
        <v>0.2</v>
      </c>
      <c r="W3" s="1">
        <v>0.2</v>
      </c>
      <c r="X3" s="1">
        <v>0.2</v>
      </c>
      <c r="Y3" s="1">
        <v>0.2</v>
      </c>
      <c r="Z3" s="1">
        <v>0.2</v>
      </c>
      <c r="AA3" s="1">
        <v>0.2</v>
      </c>
      <c r="AB3" s="1">
        <v>0.2</v>
      </c>
      <c r="AC3" s="1">
        <v>0.2</v>
      </c>
      <c r="AD3" s="1">
        <v>0.2</v>
      </c>
      <c r="AE3" s="1">
        <v>0.2</v>
      </c>
      <c r="AF3" s="1">
        <v>0.2</v>
      </c>
      <c r="AG3" s="1">
        <v>0.2</v>
      </c>
      <c r="AH3" s="1">
        <v>0.2</v>
      </c>
      <c r="AI3" s="1">
        <v>0.2</v>
      </c>
      <c r="AJ3" s="1">
        <v>0.2</v>
      </c>
      <c r="AK3" s="1">
        <v>0.2</v>
      </c>
      <c r="AL3" s="1">
        <v>0.2</v>
      </c>
      <c r="AM3" s="1">
        <v>0.2</v>
      </c>
      <c r="AN3" s="1">
        <v>0.2</v>
      </c>
      <c r="AO3" s="1">
        <v>0.2</v>
      </c>
      <c r="AP3" s="1">
        <v>0.2</v>
      </c>
      <c r="AQ3" s="1">
        <v>0.2</v>
      </c>
      <c r="AR3" s="1">
        <v>0.2</v>
      </c>
      <c r="AS3" s="1">
        <v>0.2</v>
      </c>
      <c r="AT3" s="1">
        <v>0.2</v>
      </c>
    </row>
    <row r="4" spans="1:46" ht="16" x14ac:dyDescent="0.2">
      <c r="A4" s="1">
        <v>1994</v>
      </c>
      <c r="B4" s="1">
        <v>0.2</v>
      </c>
      <c r="C4" s="1">
        <v>0.60000000000000009</v>
      </c>
      <c r="D4" s="1"/>
      <c r="E4" s="1"/>
      <c r="F4" s="1"/>
      <c r="G4" s="1" t="s">
        <v>57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>
        <v>0.56000000000000005</v>
      </c>
      <c r="AE4" s="1">
        <v>0.56000000000000005</v>
      </c>
      <c r="AF4" s="1">
        <v>0.56000000000000005</v>
      </c>
      <c r="AG4" s="1">
        <v>0.56000000000000005</v>
      </c>
      <c r="AH4" s="1">
        <v>0.56000000000000005</v>
      </c>
      <c r="AI4" s="1">
        <v>0.56000000000000005</v>
      </c>
      <c r="AJ4" s="1">
        <v>0.56000000000000005</v>
      </c>
      <c r="AK4" s="1">
        <v>0.56000000000000005</v>
      </c>
      <c r="AL4" s="1">
        <v>0.56000000000000005</v>
      </c>
      <c r="AM4" s="1">
        <v>0.56000000000000005</v>
      </c>
      <c r="AN4" s="1">
        <v>0.56000000000000005</v>
      </c>
      <c r="AO4" s="1">
        <v>0.56000000000000005</v>
      </c>
      <c r="AP4" s="1">
        <v>0.56000000000000005</v>
      </c>
      <c r="AQ4" s="1">
        <v>0.56000000000000005</v>
      </c>
      <c r="AR4" s="1">
        <v>0.56000000000000005</v>
      </c>
      <c r="AS4" s="1">
        <v>0.56000000000000005</v>
      </c>
      <c r="AT4" s="1">
        <v>0.56000000000000005</v>
      </c>
    </row>
    <row r="5" spans="1:46" ht="16" x14ac:dyDescent="0.2">
      <c r="A5" s="1">
        <v>1995</v>
      </c>
      <c r="B5" s="1">
        <v>0.2</v>
      </c>
      <c r="C5" s="1">
        <v>0.8</v>
      </c>
      <c r="D5" s="1"/>
      <c r="E5" s="1"/>
      <c r="F5" s="1"/>
      <c r="G5" s="1" t="s">
        <v>58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>
        <v>0.02</v>
      </c>
      <c r="AO5" s="1">
        <v>0.02</v>
      </c>
      <c r="AP5" s="1">
        <v>0.02</v>
      </c>
      <c r="AQ5" s="1">
        <v>0.02</v>
      </c>
      <c r="AR5" s="1">
        <v>0.02</v>
      </c>
      <c r="AS5" s="1">
        <v>0.02</v>
      </c>
      <c r="AT5" s="1">
        <v>0.02</v>
      </c>
    </row>
    <row r="6" spans="1:46" ht="16" x14ac:dyDescent="0.2">
      <c r="A6" s="1">
        <v>1996</v>
      </c>
      <c r="B6" s="1">
        <v>0.2</v>
      </c>
      <c r="C6" s="1">
        <v>1</v>
      </c>
      <c r="D6" s="1"/>
      <c r="E6" s="1"/>
      <c r="F6" s="1"/>
      <c r="G6" s="1" t="s">
        <v>59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>
        <v>0.5</v>
      </c>
      <c r="AQ6" s="1">
        <v>0.5</v>
      </c>
      <c r="AR6" s="1">
        <v>0.5</v>
      </c>
      <c r="AS6" s="1">
        <v>0.5</v>
      </c>
      <c r="AT6" s="1">
        <v>0.5</v>
      </c>
    </row>
    <row r="7" spans="1:46" ht="16" x14ac:dyDescent="0.2">
      <c r="A7" s="1">
        <v>1997</v>
      </c>
      <c r="B7" s="1">
        <v>0.2</v>
      </c>
      <c r="C7" s="1">
        <v>1.2</v>
      </c>
      <c r="D7" s="1"/>
      <c r="E7" s="1"/>
      <c r="F7" s="1"/>
      <c r="G7" s="1" t="s">
        <v>60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>
        <v>0.8</v>
      </c>
      <c r="AQ7" s="1">
        <v>0.8</v>
      </c>
      <c r="AR7" s="1">
        <v>0.8</v>
      </c>
      <c r="AS7" s="1">
        <v>0.8</v>
      </c>
      <c r="AT7" s="1">
        <v>0.8</v>
      </c>
    </row>
    <row r="8" spans="1:46" ht="16" x14ac:dyDescent="0.2">
      <c r="A8" s="1">
        <v>1998</v>
      </c>
      <c r="B8" s="1">
        <v>0.2</v>
      </c>
      <c r="C8" s="1">
        <v>1.4</v>
      </c>
      <c r="D8" s="1"/>
      <c r="E8" s="1"/>
      <c r="F8" s="1"/>
      <c r="G8" s="1" t="s">
        <v>61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>
        <v>1.42</v>
      </c>
      <c r="AQ8" s="1">
        <v>1.42</v>
      </c>
      <c r="AR8" s="1">
        <v>1.42</v>
      </c>
      <c r="AS8" s="1">
        <v>1.42</v>
      </c>
      <c r="AT8" s="1">
        <v>1.42</v>
      </c>
    </row>
    <row r="9" spans="1:46" ht="16" x14ac:dyDescent="0.2">
      <c r="A9" s="1">
        <v>1999</v>
      </c>
      <c r="B9" s="1">
        <v>0.2</v>
      </c>
      <c r="C9" s="1">
        <v>1.6</v>
      </c>
      <c r="D9" s="1"/>
      <c r="E9" s="1"/>
      <c r="F9" s="1"/>
      <c r="G9" s="1" t="s">
        <v>62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>
        <v>55.661389999999997</v>
      </c>
      <c r="AQ9" s="1">
        <v>55.661389999999997</v>
      </c>
      <c r="AR9" s="1">
        <v>55.661389999999997</v>
      </c>
      <c r="AS9" s="1">
        <v>55.661389999999997</v>
      </c>
      <c r="AT9" s="1">
        <v>55.661389999999997</v>
      </c>
    </row>
    <row r="10" spans="1:46" ht="16" x14ac:dyDescent="0.2">
      <c r="A10" s="1">
        <v>2000</v>
      </c>
      <c r="B10" s="1">
        <v>0.2</v>
      </c>
      <c r="C10" s="1">
        <v>1.8</v>
      </c>
      <c r="D10" s="1"/>
      <c r="E10" s="1"/>
      <c r="F10" s="1"/>
      <c r="G10" s="1" t="s">
        <v>63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>
        <v>2.76E-2</v>
      </c>
      <c r="AQ10" s="1">
        <v>2.76E-2</v>
      </c>
      <c r="AR10" s="1">
        <v>2.76E-2</v>
      </c>
      <c r="AS10" s="1">
        <v>2.76E-2</v>
      </c>
      <c r="AT10" s="1">
        <v>2.76E-2</v>
      </c>
    </row>
    <row r="11" spans="1:46" ht="16" x14ac:dyDescent="0.2">
      <c r="A11" s="1">
        <v>2001</v>
      </c>
      <c r="B11" s="1">
        <v>0.2</v>
      </c>
      <c r="C11" s="1">
        <v>2</v>
      </c>
      <c r="D11" s="1"/>
      <c r="E11" s="1"/>
      <c r="F11" s="1"/>
      <c r="G11" s="1" t="s">
        <v>64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>
        <v>2.76E-2</v>
      </c>
      <c r="AQ11" s="1">
        <v>2.76E-2</v>
      </c>
      <c r="AR11" s="1">
        <v>2.76E-2</v>
      </c>
      <c r="AS11" s="1">
        <v>2.76E-2</v>
      </c>
      <c r="AT11" s="1">
        <v>2.76E-2</v>
      </c>
    </row>
    <row r="12" spans="1:46" ht="16" x14ac:dyDescent="0.2">
      <c r="A12" s="1">
        <v>2002</v>
      </c>
      <c r="B12" s="1">
        <v>0.2</v>
      </c>
      <c r="C12" s="1">
        <v>2.2000000000000002</v>
      </c>
      <c r="D12" s="1"/>
      <c r="E12" s="1"/>
      <c r="F12" s="1"/>
      <c r="G12" s="1" t="s">
        <v>65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>
        <v>2.76E-2</v>
      </c>
      <c r="AQ12" s="1">
        <v>2.76E-2</v>
      </c>
      <c r="AR12" s="1">
        <v>2.76E-2</v>
      </c>
      <c r="AS12" s="1">
        <v>2.76E-2</v>
      </c>
      <c r="AT12" s="1">
        <v>2.76E-2</v>
      </c>
    </row>
    <row r="13" spans="1:46" ht="16" x14ac:dyDescent="0.2">
      <c r="A13" s="1">
        <v>2003</v>
      </c>
      <c r="B13" s="1">
        <v>0.2</v>
      </c>
      <c r="C13" s="1">
        <v>2.4</v>
      </c>
      <c r="D13" s="1"/>
      <c r="E13" s="1"/>
      <c r="F13" s="1"/>
      <c r="G13" s="1" t="s">
        <v>66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>
        <v>2.76E-2</v>
      </c>
      <c r="AQ13" s="1">
        <v>2.76E-2</v>
      </c>
      <c r="AR13" s="1">
        <v>2.76E-2</v>
      </c>
      <c r="AS13" s="1">
        <v>2.76E-2</v>
      </c>
      <c r="AT13" s="1">
        <v>2.76E-2</v>
      </c>
    </row>
    <row r="14" spans="1:46" ht="16" x14ac:dyDescent="0.2">
      <c r="A14" s="1">
        <v>2004</v>
      </c>
      <c r="B14" s="1">
        <v>0.2</v>
      </c>
      <c r="C14" s="1">
        <v>2.6</v>
      </c>
      <c r="D14" s="1"/>
      <c r="E14" s="1"/>
      <c r="F14" s="1"/>
      <c r="G14" s="1" t="s">
        <v>67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>
        <v>2.76E-2</v>
      </c>
      <c r="AQ14" s="1">
        <v>2.76E-2</v>
      </c>
      <c r="AR14" s="1">
        <v>2.76E-2</v>
      </c>
      <c r="AS14" s="1">
        <v>2.76E-2</v>
      </c>
      <c r="AT14" s="1">
        <v>2.76E-2</v>
      </c>
    </row>
    <row r="15" spans="1:46" ht="16" x14ac:dyDescent="0.2">
      <c r="A15" s="1">
        <v>2005</v>
      </c>
      <c r="B15" s="1">
        <v>0.2</v>
      </c>
      <c r="C15" s="1">
        <v>2.8</v>
      </c>
      <c r="D15" s="1"/>
      <c r="E15" s="1"/>
      <c r="F15" s="1"/>
      <c r="G15" s="1" t="s">
        <v>68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>
        <v>0.5</v>
      </c>
      <c r="AQ15" s="1">
        <v>0.5</v>
      </c>
      <c r="AR15" s="1">
        <v>0.5</v>
      </c>
      <c r="AS15" s="1">
        <v>0.5</v>
      </c>
      <c r="AT15" s="1">
        <v>0.5</v>
      </c>
    </row>
    <row r="16" spans="1:46" ht="16" x14ac:dyDescent="0.2">
      <c r="A16" s="1">
        <v>2006</v>
      </c>
      <c r="B16" s="1">
        <v>0.2</v>
      </c>
      <c r="C16" s="1">
        <v>3</v>
      </c>
      <c r="D16" s="1"/>
      <c r="E16" s="1"/>
      <c r="F16" s="1"/>
      <c r="G16" s="1" t="s">
        <v>69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>
        <v>1.3</v>
      </c>
      <c r="AQ16" s="1">
        <v>1.3</v>
      </c>
      <c r="AR16" s="1">
        <v>1.3</v>
      </c>
      <c r="AS16" s="1">
        <v>1.3</v>
      </c>
      <c r="AT16" s="1">
        <v>1.3</v>
      </c>
    </row>
    <row r="17" spans="1:46" ht="16" x14ac:dyDescent="0.2">
      <c r="A17" s="1">
        <v>2007</v>
      </c>
      <c r="B17" s="1">
        <v>0.2</v>
      </c>
      <c r="C17" s="1">
        <v>3.2</v>
      </c>
      <c r="D17" s="1"/>
      <c r="E17" s="1"/>
      <c r="F17" s="1"/>
      <c r="G17" s="1" t="s">
        <v>70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>
        <v>0.5</v>
      </c>
      <c r="AQ17" s="1">
        <v>0.5</v>
      </c>
      <c r="AR17" s="1">
        <v>0.5</v>
      </c>
      <c r="AS17" s="1">
        <v>0.5</v>
      </c>
      <c r="AT17" s="1">
        <v>0.5</v>
      </c>
    </row>
    <row r="18" spans="1:46" ht="16" x14ac:dyDescent="0.2">
      <c r="A18" s="1">
        <v>2008</v>
      </c>
      <c r="B18" s="1">
        <v>0.2</v>
      </c>
      <c r="C18" s="1">
        <v>3.4</v>
      </c>
      <c r="D18" s="1"/>
      <c r="E18" s="1"/>
      <c r="F18" s="1"/>
      <c r="G18" s="1" t="s">
        <v>71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>
        <v>0.1</v>
      </c>
      <c r="AQ18" s="1">
        <v>0.1</v>
      </c>
      <c r="AR18" s="1">
        <v>0.1</v>
      </c>
      <c r="AS18" s="1">
        <v>0.1</v>
      </c>
      <c r="AT18" s="1">
        <v>0.1</v>
      </c>
    </row>
    <row r="19" spans="1:46" ht="16" x14ac:dyDescent="0.2">
      <c r="A19" s="1">
        <v>2009</v>
      </c>
      <c r="B19" s="1">
        <v>0.2</v>
      </c>
      <c r="C19" s="1">
        <v>3.6</v>
      </c>
      <c r="D19" s="1"/>
      <c r="E19" s="1"/>
      <c r="F19" s="1"/>
      <c r="G19" s="1" t="s">
        <v>72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>
        <v>0.03</v>
      </c>
      <c r="AQ19" s="1">
        <v>0.03</v>
      </c>
      <c r="AR19" s="1">
        <v>0.03</v>
      </c>
      <c r="AS19" s="1">
        <v>0.03</v>
      </c>
      <c r="AT19" s="1">
        <v>0.03</v>
      </c>
    </row>
    <row r="20" spans="1:46" ht="16" x14ac:dyDescent="0.2">
      <c r="A20" s="1">
        <v>2010</v>
      </c>
      <c r="B20" s="1">
        <v>0.2</v>
      </c>
      <c r="C20" s="1">
        <v>3.8</v>
      </c>
      <c r="D20" s="1"/>
      <c r="E20" s="1"/>
      <c r="F20" s="1"/>
      <c r="G20" s="1" t="s">
        <v>73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>
        <v>1.1499999999999999</v>
      </c>
      <c r="AQ20" s="1">
        <v>1.1499999999999999</v>
      </c>
      <c r="AR20" s="1">
        <v>1.1499999999999999</v>
      </c>
      <c r="AS20" s="1">
        <v>1.1499999999999999</v>
      </c>
      <c r="AT20" s="1">
        <v>1.1499999999999999</v>
      </c>
    </row>
    <row r="21" spans="1:46" ht="16" x14ac:dyDescent="0.2">
      <c r="A21" s="1">
        <v>2011</v>
      </c>
      <c r="B21" s="1">
        <v>0.2</v>
      </c>
      <c r="C21" s="1">
        <v>4</v>
      </c>
      <c r="D21" s="1"/>
      <c r="E21" s="1"/>
      <c r="F21" s="1"/>
      <c r="G21" s="1" t="s">
        <v>74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>
        <v>0.8</v>
      </c>
      <c r="AQ21" s="1">
        <v>0.8</v>
      </c>
      <c r="AR21" s="1">
        <v>0.8</v>
      </c>
      <c r="AS21" s="1">
        <v>0.8</v>
      </c>
      <c r="AT21" s="1">
        <v>0.8</v>
      </c>
    </row>
    <row r="22" spans="1:46" ht="16" x14ac:dyDescent="0.2">
      <c r="A22" s="1">
        <v>2012</v>
      </c>
      <c r="B22" s="1">
        <v>0.2</v>
      </c>
      <c r="C22" s="1">
        <v>4.2</v>
      </c>
      <c r="D22" s="1"/>
      <c r="E22" s="1"/>
      <c r="F22" s="1"/>
      <c r="G22" s="1" t="s">
        <v>75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>
        <v>0.28000000000000003</v>
      </c>
      <c r="AQ22" s="1">
        <v>0.28000000000000003</v>
      </c>
      <c r="AR22" s="1">
        <v>0.28000000000000003</v>
      </c>
      <c r="AS22" s="1">
        <v>0.28000000000000003</v>
      </c>
      <c r="AT22" s="1">
        <v>0.28000000000000003</v>
      </c>
    </row>
    <row r="23" spans="1:46" ht="16" x14ac:dyDescent="0.2">
      <c r="A23" s="1">
        <v>2013</v>
      </c>
      <c r="B23" s="1">
        <v>0.2</v>
      </c>
      <c r="C23" s="1">
        <v>4.4000000000000004</v>
      </c>
      <c r="D23" s="1"/>
      <c r="E23" s="1"/>
      <c r="F23" s="1"/>
      <c r="G23" s="1" t="s">
        <v>76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>
        <v>0.15</v>
      </c>
      <c r="AQ23" s="1">
        <v>0.15</v>
      </c>
      <c r="AR23" s="1">
        <v>0.15</v>
      </c>
      <c r="AS23" s="1">
        <v>0.15</v>
      </c>
      <c r="AT23" s="1">
        <v>0.15</v>
      </c>
    </row>
    <row r="24" spans="1:46" ht="16" x14ac:dyDescent="0.2">
      <c r="A24" s="1">
        <v>2014</v>
      </c>
      <c r="B24" s="1">
        <v>0.76</v>
      </c>
      <c r="C24" s="1">
        <v>5.16</v>
      </c>
      <c r="D24" s="1"/>
      <c r="E24" s="1"/>
      <c r="F24" s="1"/>
      <c r="G24" s="1" t="s">
        <v>77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>
        <v>0.78</v>
      </c>
      <c r="AR24" s="1">
        <v>0.78</v>
      </c>
      <c r="AS24" s="1">
        <v>0.78</v>
      </c>
      <c r="AT24" s="1">
        <v>0.78</v>
      </c>
    </row>
    <row r="25" spans="1:46" ht="16" x14ac:dyDescent="0.2">
      <c r="A25" s="1">
        <v>2015</v>
      </c>
      <c r="B25" s="1">
        <v>0.76</v>
      </c>
      <c r="C25" s="1">
        <v>5.92</v>
      </c>
      <c r="D25" s="1"/>
      <c r="E25" s="1"/>
      <c r="F25" s="1"/>
      <c r="G25" s="1" t="s">
        <v>78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>
        <v>1</v>
      </c>
      <c r="AR25" s="1">
        <v>1</v>
      </c>
      <c r="AS25" s="1">
        <v>1</v>
      </c>
      <c r="AT25" s="1">
        <v>1</v>
      </c>
    </row>
    <row r="26" spans="1:46" ht="16" x14ac:dyDescent="0.2">
      <c r="A26" s="1">
        <v>2016</v>
      </c>
      <c r="B26" s="1">
        <v>0.76</v>
      </c>
      <c r="C26" s="1">
        <v>6.6800000000000006</v>
      </c>
      <c r="D26" s="1"/>
      <c r="E26" s="1"/>
      <c r="F26" s="1"/>
      <c r="G26" s="1" t="s">
        <v>79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>
        <v>0.14000000000000001</v>
      </c>
      <c r="AR26" s="1">
        <v>0.14000000000000001</v>
      </c>
      <c r="AS26" s="1">
        <v>0.14000000000000001</v>
      </c>
      <c r="AT26" s="1">
        <v>0.14000000000000001</v>
      </c>
    </row>
    <row r="27" spans="1:46" ht="16" x14ac:dyDescent="0.2">
      <c r="A27" s="1">
        <v>2017</v>
      </c>
      <c r="B27" s="1">
        <v>0.76</v>
      </c>
      <c r="C27" s="1">
        <v>7.44</v>
      </c>
      <c r="D27" s="1"/>
      <c r="E27" s="1"/>
      <c r="F27" s="1"/>
      <c r="G27" s="1" t="s">
        <v>80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>
        <v>0.5</v>
      </c>
      <c r="AS27" s="1">
        <v>0.5</v>
      </c>
      <c r="AT27" s="1">
        <v>0.5</v>
      </c>
    </row>
    <row r="28" spans="1:46" ht="16" x14ac:dyDescent="0.2">
      <c r="A28" s="1">
        <v>2018</v>
      </c>
      <c r="B28" s="1">
        <v>0.76</v>
      </c>
      <c r="C28" s="1">
        <v>8.2000000000000011</v>
      </c>
      <c r="D28" s="1"/>
      <c r="E28" s="1"/>
      <c r="F28" s="1"/>
      <c r="G28" s="1" t="s">
        <v>81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>
        <v>0.6</v>
      </c>
      <c r="AS28" s="1">
        <v>0.6</v>
      </c>
      <c r="AT28" s="1">
        <v>0.6</v>
      </c>
    </row>
    <row r="29" spans="1:46" ht="16" x14ac:dyDescent="0.2">
      <c r="A29" s="1">
        <v>2019</v>
      </c>
      <c r="B29" s="1">
        <v>0.76</v>
      </c>
      <c r="C29" s="1">
        <v>8.9600000000000009</v>
      </c>
      <c r="D29" s="1"/>
      <c r="E29" s="1"/>
      <c r="F29" s="1"/>
      <c r="G29" s="1" t="s">
        <v>82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>
        <v>0.8</v>
      </c>
      <c r="AS29" s="1">
        <v>0.8</v>
      </c>
      <c r="AT29" s="1">
        <v>0.8</v>
      </c>
    </row>
    <row r="30" spans="1:46" ht="16" x14ac:dyDescent="0.2">
      <c r="A30" s="1">
        <v>2020</v>
      </c>
      <c r="B30" s="1">
        <v>0.76</v>
      </c>
      <c r="C30" s="1">
        <v>9.7200000000000006</v>
      </c>
      <c r="D30" s="1"/>
      <c r="E30" s="1"/>
      <c r="F30" s="1"/>
      <c r="G30" s="1" t="s">
        <v>83</v>
      </c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>
        <v>0.37</v>
      </c>
      <c r="AS30" s="1">
        <v>0.37</v>
      </c>
      <c r="AT30" s="1">
        <v>0.37</v>
      </c>
    </row>
    <row r="31" spans="1:46" ht="16" x14ac:dyDescent="0.2">
      <c r="A31" s="1">
        <v>2021</v>
      </c>
      <c r="B31" s="1">
        <v>0.76</v>
      </c>
      <c r="C31" s="1">
        <v>10.48</v>
      </c>
      <c r="D31" s="1"/>
      <c r="E31" s="1"/>
      <c r="F31" s="1"/>
      <c r="G31" s="1" t="s">
        <v>84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>
        <v>0.85</v>
      </c>
      <c r="AS31" s="1">
        <v>0.85</v>
      </c>
      <c r="AT31" s="1">
        <v>0.85</v>
      </c>
    </row>
    <row r="32" spans="1:46" ht="16" x14ac:dyDescent="0.2">
      <c r="A32" s="1">
        <v>2022</v>
      </c>
      <c r="B32" s="1">
        <v>0.76</v>
      </c>
      <c r="C32" s="1">
        <v>11.24</v>
      </c>
      <c r="D32" s="1"/>
      <c r="E32" s="1"/>
      <c r="F32" s="1"/>
      <c r="G32" s="1" t="s">
        <v>85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>
        <v>0.7</v>
      </c>
      <c r="AS32" s="1">
        <v>0.7</v>
      </c>
      <c r="AT32" s="1">
        <v>0.7</v>
      </c>
    </row>
    <row r="33" spans="1:46" ht="16" x14ac:dyDescent="0.2">
      <c r="A33" s="1">
        <v>2023</v>
      </c>
      <c r="B33" s="1">
        <v>0.76</v>
      </c>
      <c r="C33" s="1">
        <v>12</v>
      </c>
      <c r="D33" s="1"/>
      <c r="E33" s="1"/>
      <c r="F33" s="1"/>
      <c r="G33" s="1" t="s">
        <v>86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>
        <v>0.06</v>
      </c>
      <c r="AS33" s="1">
        <v>0.06</v>
      </c>
      <c r="AT33" s="1">
        <v>0.06</v>
      </c>
    </row>
    <row r="34" spans="1:46" ht="16" x14ac:dyDescent="0.2">
      <c r="A34" s="1">
        <v>2024</v>
      </c>
      <c r="B34" s="1">
        <v>0.78</v>
      </c>
      <c r="C34" s="1">
        <v>12.78</v>
      </c>
      <c r="D34" s="1"/>
      <c r="E34" s="1"/>
      <c r="F34" s="1"/>
      <c r="G34" s="1" t="s">
        <v>87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>
        <v>0.8</v>
      </c>
      <c r="AS34" s="1">
        <v>0.8</v>
      </c>
      <c r="AT34" s="1">
        <v>0.8</v>
      </c>
    </row>
    <row r="35" spans="1:46" ht="16" x14ac:dyDescent="0.2">
      <c r="A35" s="1">
        <v>2025</v>
      </c>
      <c r="B35" s="1">
        <v>0.78</v>
      </c>
      <c r="C35" s="1">
        <v>13.56</v>
      </c>
      <c r="D35" s="1"/>
      <c r="E35" s="1"/>
      <c r="F35" s="1"/>
      <c r="G35" s="1" t="s">
        <v>88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>
        <v>0.2</v>
      </c>
      <c r="AS35" s="1">
        <v>0.2</v>
      </c>
      <c r="AT35" s="1">
        <v>0.2</v>
      </c>
    </row>
    <row r="36" spans="1:46" ht="16" x14ac:dyDescent="0.2">
      <c r="A36" s="1">
        <v>2026</v>
      </c>
      <c r="B36" s="1">
        <v>64.109389999999991</v>
      </c>
      <c r="C36" s="1">
        <v>77.669389999999993</v>
      </c>
      <c r="D36" s="1"/>
      <c r="E36" s="1"/>
      <c r="F36" s="1"/>
      <c r="G36" s="1" t="s">
        <v>89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>
        <v>1.5</v>
      </c>
      <c r="AT36" s="1">
        <v>1.5</v>
      </c>
    </row>
    <row r="37" spans="1:46" ht="16" x14ac:dyDescent="0.2">
      <c r="A37" s="1">
        <v>2027</v>
      </c>
      <c r="B37" s="1">
        <v>66.029389999999992</v>
      </c>
      <c r="C37" s="1">
        <v>143.69878</v>
      </c>
      <c r="D37" s="1"/>
      <c r="E37" s="1"/>
      <c r="F37" s="1"/>
      <c r="G37" s="1" t="s">
        <v>90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>
        <v>1.4</v>
      </c>
      <c r="AT37" s="1">
        <v>1.4</v>
      </c>
    </row>
    <row r="38" spans="1:46" ht="16" x14ac:dyDescent="0.2">
      <c r="A38" s="1">
        <v>2028</v>
      </c>
      <c r="B38" s="1">
        <v>70.909390000000002</v>
      </c>
      <c r="C38" s="1">
        <v>214.60817</v>
      </c>
      <c r="D38" s="1"/>
      <c r="E38" s="1"/>
      <c r="F38" s="1"/>
      <c r="G38" s="1" t="s">
        <v>91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>
        <v>0.2</v>
      </c>
      <c r="AT38" s="1">
        <v>0.2</v>
      </c>
    </row>
    <row r="39" spans="1:46" ht="16" x14ac:dyDescent="0.2">
      <c r="A39" s="1">
        <v>2029</v>
      </c>
      <c r="B39" s="1">
        <v>85.064390000000003</v>
      </c>
      <c r="C39" s="1">
        <v>299.67255999999998</v>
      </c>
      <c r="D39" s="1"/>
      <c r="E39" s="1"/>
      <c r="F39" s="1"/>
      <c r="G39" s="1" t="s">
        <v>92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>
        <v>0.62</v>
      </c>
      <c r="AT39" s="1">
        <v>0.62</v>
      </c>
    </row>
    <row r="40" spans="1:46" ht="16" x14ac:dyDescent="0.2">
      <c r="A40" s="1">
        <v>2030</v>
      </c>
      <c r="B40" s="1">
        <v>109.51439000000001</v>
      </c>
      <c r="C40" s="1">
        <v>409.18695000000002</v>
      </c>
      <c r="D40" s="1">
        <f>C40/1000</f>
        <v>0.40918695000000005</v>
      </c>
      <c r="E40" s="1"/>
      <c r="F40" s="1"/>
      <c r="G40" s="1" t="s">
        <v>93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>
        <v>2</v>
      </c>
      <c r="AT40" s="1">
        <v>2</v>
      </c>
    </row>
    <row r="41" spans="1:46" ht="16" x14ac:dyDescent="0.2">
      <c r="A41" s="1"/>
      <c r="B41" s="1"/>
      <c r="C41" s="1"/>
      <c r="D41" s="1"/>
      <c r="E41" s="1"/>
      <c r="F41" s="1"/>
      <c r="G41" s="1" t="s">
        <v>94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>
        <v>0.8</v>
      </c>
      <c r="AT41" s="1">
        <v>0.8</v>
      </c>
    </row>
    <row r="42" spans="1:46" ht="16" x14ac:dyDescent="0.2">
      <c r="A42" s="1"/>
      <c r="B42" s="1"/>
      <c r="C42" s="1"/>
      <c r="D42" s="1"/>
      <c r="E42" s="1"/>
      <c r="F42" s="1"/>
      <c r="G42" s="1" t="s">
        <v>95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>
        <v>0.7</v>
      </c>
      <c r="AT42" s="1">
        <v>0.7</v>
      </c>
    </row>
    <row r="43" spans="1:46" ht="16" x14ac:dyDescent="0.2">
      <c r="A43" s="1"/>
      <c r="B43" s="1"/>
      <c r="C43" s="1"/>
      <c r="D43" s="1"/>
      <c r="E43" s="1"/>
      <c r="F43" s="1"/>
      <c r="G43" s="1" t="s">
        <v>96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>
        <v>1.1000000000000001</v>
      </c>
      <c r="AT43" s="1">
        <v>1.1000000000000001</v>
      </c>
    </row>
    <row r="44" spans="1:46" ht="16" x14ac:dyDescent="0.2">
      <c r="A44" s="1"/>
      <c r="B44" s="1"/>
      <c r="C44" s="1"/>
      <c r="D44" s="1"/>
      <c r="E44" s="1"/>
      <c r="F44" s="1"/>
      <c r="G44" s="1" t="s">
        <v>97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>
        <v>1</v>
      </c>
      <c r="AT44" s="1">
        <v>1</v>
      </c>
    </row>
    <row r="45" spans="1:46" ht="16" x14ac:dyDescent="0.2">
      <c r="A45" s="1"/>
      <c r="B45" s="1"/>
      <c r="C45" s="1"/>
      <c r="D45" s="1"/>
      <c r="E45" s="1"/>
      <c r="F45" s="1"/>
      <c r="G45" s="1" t="s">
        <v>98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>
        <v>0.435</v>
      </c>
      <c r="AT45" s="1">
        <v>0.435</v>
      </c>
    </row>
    <row r="46" spans="1:46" ht="16" x14ac:dyDescent="0.2">
      <c r="A46" s="1"/>
      <c r="B46" s="1"/>
      <c r="C46" s="1"/>
      <c r="D46" s="1"/>
      <c r="E46" s="1"/>
      <c r="F46" s="1"/>
      <c r="G46" s="1" t="s">
        <v>99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>
        <v>2.5</v>
      </c>
      <c r="AT46" s="1">
        <v>2.5</v>
      </c>
    </row>
    <row r="47" spans="1:46" ht="16" x14ac:dyDescent="0.2">
      <c r="A47" s="1"/>
      <c r="B47" s="1"/>
      <c r="C47" s="1"/>
      <c r="D47" s="1"/>
      <c r="E47" s="1"/>
      <c r="F47" s="1"/>
      <c r="G47" s="1" t="s">
        <v>100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>
        <v>1.9</v>
      </c>
      <c r="AT47" s="1">
        <v>1.9</v>
      </c>
    </row>
    <row r="48" spans="1:46" ht="16" x14ac:dyDescent="0.2">
      <c r="A48" s="1"/>
      <c r="B48" s="1"/>
      <c r="C48" s="1"/>
      <c r="D48" s="1"/>
      <c r="E48" s="1"/>
      <c r="F48" s="1"/>
      <c r="G48" s="1" t="s">
        <v>101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>
        <v>1.3</v>
      </c>
    </row>
    <row r="49" spans="1:46" ht="16" x14ac:dyDescent="0.2">
      <c r="A49" s="1"/>
      <c r="B49" s="1"/>
      <c r="C49" s="1"/>
      <c r="D49" s="1"/>
      <c r="E49" s="1"/>
      <c r="F49" s="1"/>
      <c r="G49" s="1" t="s">
        <v>102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>
        <v>1.7</v>
      </c>
    </row>
    <row r="50" spans="1:46" ht="16" x14ac:dyDescent="0.2">
      <c r="A50" s="1"/>
      <c r="B50" s="1"/>
      <c r="C50" s="1"/>
      <c r="D50" s="1"/>
      <c r="E50" s="1"/>
      <c r="F50" s="1"/>
      <c r="G50" s="1" t="s">
        <v>103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>
        <v>1</v>
      </c>
    </row>
    <row r="51" spans="1:46" ht="16" x14ac:dyDescent="0.2">
      <c r="A51" s="1"/>
      <c r="B51" s="1"/>
      <c r="C51" s="1"/>
      <c r="D51" s="1"/>
      <c r="E51" s="1"/>
      <c r="F51" s="1"/>
      <c r="G51" s="1" t="s">
        <v>104</v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>
        <v>0.8</v>
      </c>
    </row>
    <row r="52" spans="1:46" ht="16" x14ac:dyDescent="0.2">
      <c r="A52" s="1"/>
      <c r="B52" s="1"/>
      <c r="C52" s="1"/>
      <c r="D52" s="1"/>
      <c r="E52" s="1"/>
      <c r="F52" s="1"/>
      <c r="G52" s="1" t="s">
        <v>105</v>
      </c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>
        <v>1</v>
      </c>
    </row>
    <row r="53" spans="1:46" ht="16" x14ac:dyDescent="0.2">
      <c r="A53" s="1"/>
      <c r="B53" s="1"/>
      <c r="C53" s="1"/>
      <c r="D53" s="1"/>
      <c r="E53" s="1"/>
      <c r="F53" s="1"/>
      <c r="G53" s="1" t="s">
        <v>106</v>
      </c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>
        <v>1</v>
      </c>
    </row>
    <row r="54" spans="1:46" ht="16" x14ac:dyDescent="0.2">
      <c r="A54" s="1"/>
      <c r="B54" s="1"/>
      <c r="C54" s="1"/>
      <c r="D54" s="1"/>
      <c r="E54" s="1"/>
      <c r="F54" s="1"/>
      <c r="G54" s="1" t="s">
        <v>107</v>
      </c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>
        <v>4</v>
      </c>
    </row>
    <row r="55" spans="1:46" ht="16" x14ac:dyDescent="0.2">
      <c r="A55" s="1"/>
      <c r="B55" s="1"/>
      <c r="C55" s="1"/>
      <c r="D55" s="1"/>
      <c r="E55" s="1"/>
      <c r="F55" s="1"/>
      <c r="G55" s="1" t="s">
        <v>108</v>
      </c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>
        <v>10</v>
      </c>
    </row>
    <row r="56" spans="1:46" ht="16" x14ac:dyDescent="0.2">
      <c r="A56" s="1"/>
      <c r="B56" s="1"/>
      <c r="C56" s="1"/>
      <c r="D56" s="1"/>
      <c r="E56" s="1"/>
      <c r="F56" s="1"/>
      <c r="G56" s="1" t="s">
        <v>109</v>
      </c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>
        <v>0.5</v>
      </c>
    </row>
    <row r="57" spans="1:46" ht="16" x14ac:dyDescent="0.2">
      <c r="A57" s="1"/>
      <c r="B57" s="1"/>
      <c r="C57" s="1"/>
      <c r="D57" s="1"/>
      <c r="E57" s="1"/>
      <c r="F57" s="1"/>
      <c r="G57" s="1" t="s">
        <v>110</v>
      </c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>
        <v>0.1</v>
      </c>
    </row>
    <row r="58" spans="1:46" ht="16" x14ac:dyDescent="0.2">
      <c r="A58" s="1"/>
      <c r="B58" s="1"/>
      <c r="C58" s="1"/>
      <c r="D58" s="1"/>
      <c r="E58" s="1"/>
      <c r="F58" s="1"/>
      <c r="G58" s="1" t="s">
        <v>111</v>
      </c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>
        <v>0.75</v>
      </c>
    </row>
    <row r="59" spans="1:46" ht="16" x14ac:dyDescent="0.2">
      <c r="A59" s="1"/>
      <c r="B59" s="1"/>
      <c r="C59" s="1"/>
      <c r="D59" s="1"/>
      <c r="E59" s="1"/>
      <c r="F59" s="1"/>
      <c r="G59" s="1" t="s">
        <v>112</v>
      </c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>
        <v>1.8</v>
      </c>
    </row>
    <row r="60" spans="1:46" ht="16" x14ac:dyDescent="0.2">
      <c r="A60" s="1"/>
      <c r="B60" s="1"/>
      <c r="C60" s="1"/>
      <c r="D60" s="1"/>
      <c r="E60" s="1"/>
      <c r="F60" s="1"/>
      <c r="G60" s="1" t="s">
        <v>113</v>
      </c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>
        <v>0.5</v>
      </c>
    </row>
    <row r="61" spans="1:46" ht="16" x14ac:dyDescent="0.2">
      <c r="A61" s="1"/>
      <c r="B61" s="1"/>
      <c r="C61" s="1"/>
      <c r="D61" s="1"/>
      <c r="E61" s="1"/>
      <c r="F61" s="1"/>
      <c r="G61" s="1" t="s">
        <v>8</v>
      </c>
      <c r="H61" s="1">
        <f t="shared" ref="H61:AT61" si="0">SUM(H3:H60)</f>
        <v>0.2</v>
      </c>
      <c r="I61" s="1">
        <f t="shared" si="0"/>
        <v>0.2</v>
      </c>
      <c r="J61" s="1">
        <f t="shared" si="0"/>
        <v>0.2</v>
      </c>
      <c r="K61" s="1">
        <f t="shared" si="0"/>
        <v>0.2</v>
      </c>
      <c r="L61" s="1">
        <f t="shared" si="0"/>
        <v>0.2</v>
      </c>
      <c r="M61" s="1">
        <f t="shared" si="0"/>
        <v>0.2</v>
      </c>
      <c r="N61" s="1">
        <f t="shared" si="0"/>
        <v>0.2</v>
      </c>
      <c r="O61" s="1">
        <f t="shared" si="0"/>
        <v>0.2</v>
      </c>
      <c r="P61" s="1">
        <f t="shared" si="0"/>
        <v>0.2</v>
      </c>
      <c r="Q61" s="1">
        <f t="shared" si="0"/>
        <v>0.2</v>
      </c>
      <c r="R61" s="1">
        <f t="shared" si="0"/>
        <v>0.2</v>
      </c>
      <c r="S61" s="1">
        <f t="shared" si="0"/>
        <v>0.2</v>
      </c>
      <c r="T61" s="1">
        <f t="shared" si="0"/>
        <v>0.2</v>
      </c>
      <c r="U61" s="1">
        <f t="shared" si="0"/>
        <v>0.2</v>
      </c>
      <c r="V61" s="1">
        <f t="shared" si="0"/>
        <v>0.2</v>
      </c>
      <c r="W61" s="1">
        <f t="shared" si="0"/>
        <v>0.2</v>
      </c>
      <c r="X61" s="1">
        <f t="shared" si="0"/>
        <v>0.2</v>
      </c>
      <c r="Y61" s="1">
        <f t="shared" si="0"/>
        <v>0.2</v>
      </c>
      <c r="Z61" s="1">
        <f t="shared" si="0"/>
        <v>0.2</v>
      </c>
      <c r="AA61" s="1">
        <f t="shared" si="0"/>
        <v>0.2</v>
      </c>
      <c r="AB61" s="1">
        <f t="shared" si="0"/>
        <v>0.2</v>
      </c>
      <c r="AC61" s="1">
        <f t="shared" si="0"/>
        <v>0.2</v>
      </c>
      <c r="AD61" s="1">
        <f t="shared" si="0"/>
        <v>0.76</v>
      </c>
      <c r="AE61" s="1">
        <f t="shared" si="0"/>
        <v>0.76</v>
      </c>
      <c r="AF61" s="1">
        <f t="shared" si="0"/>
        <v>0.76</v>
      </c>
      <c r="AG61" s="1">
        <f t="shared" si="0"/>
        <v>0.76</v>
      </c>
      <c r="AH61" s="1">
        <f t="shared" si="0"/>
        <v>0.76</v>
      </c>
      <c r="AI61" s="1">
        <f t="shared" si="0"/>
        <v>0.76</v>
      </c>
      <c r="AJ61" s="1">
        <f t="shared" si="0"/>
        <v>0.76</v>
      </c>
      <c r="AK61" s="1">
        <f t="shared" si="0"/>
        <v>0.76</v>
      </c>
      <c r="AL61" s="1">
        <f t="shared" si="0"/>
        <v>0.76</v>
      </c>
      <c r="AM61" s="1">
        <f t="shared" si="0"/>
        <v>0.76</v>
      </c>
      <c r="AN61" s="1">
        <f t="shared" si="0"/>
        <v>0.78</v>
      </c>
      <c r="AO61" s="1">
        <f t="shared" si="0"/>
        <v>0.78</v>
      </c>
      <c r="AP61" s="1">
        <f t="shared" si="0"/>
        <v>64.109389999999991</v>
      </c>
      <c r="AQ61" s="1">
        <f t="shared" si="0"/>
        <v>66.029389999999992</v>
      </c>
      <c r="AR61" s="1">
        <f t="shared" si="0"/>
        <v>70.909389999999988</v>
      </c>
      <c r="AS61" s="1">
        <f t="shared" si="0"/>
        <v>85.064390000000003</v>
      </c>
      <c r="AT61" s="1">
        <f t="shared" si="0"/>
        <v>109.51438999999999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6"/>
  <sheetViews>
    <sheetView workbookViewId="0">
      <selection activeCell="D5" sqref="D5"/>
    </sheetView>
  </sheetViews>
  <sheetFormatPr baseColWidth="10" defaultColWidth="8.83203125" defaultRowHeight="15" x14ac:dyDescent="0.2"/>
  <cols>
    <col min="1" max="1" width="13" customWidth="1"/>
    <col min="2" max="2" width="19.83203125" customWidth="1"/>
    <col min="3" max="3" width="21" customWidth="1"/>
    <col min="4" max="6" width="13" customWidth="1"/>
    <col min="7" max="7" width="75.6640625" customWidth="1"/>
    <col min="8" max="10" width="13" customWidth="1"/>
  </cols>
  <sheetData>
    <row r="1" spans="1:10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/>
      <c r="I1" s="1"/>
      <c r="J1" s="1"/>
    </row>
    <row r="2" spans="1:10" ht="16" x14ac:dyDescent="0.2">
      <c r="A2" s="1">
        <v>2028</v>
      </c>
      <c r="B2" s="1">
        <v>5.9</v>
      </c>
      <c r="C2" s="1">
        <v>5.9</v>
      </c>
      <c r="D2" s="1"/>
      <c r="E2" s="1"/>
      <c r="F2" s="1"/>
      <c r="G2" s="1" t="s">
        <v>4</v>
      </c>
      <c r="H2" s="1">
        <v>2028</v>
      </c>
      <c r="I2" s="1">
        <v>2029</v>
      </c>
      <c r="J2" s="1">
        <v>2030</v>
      </c>
    </row>
    <row r="3" spans="1:10" ht="16" x14ac:dyDescent="0.2">
      <c r="A3" s="1">
        <v>2029</v>
      </c>
      <c r="B3" s="1">
        <v>5.9</v>
      </c>
      <c r="C3" s="1">
        <v>11.8</v>
      </c>
      <c r="D3" s="1"/>
      <c r="E3" s="1"/>
      <c r="F3" s="1"/>
      <c r="G3" s="1" t="s">
        <v>114</v>
      </c>
      <c r="H3" s="1">
        <v>3</v>
      </c>
      <c r="I3" s="1">
        <v>3</v>
      </c>
      <c r="J3" s="1">
        <v>3</v>
      </c>
    </row>
    <row r="4" spans="1:10" ht="16" x14ac:dyDescent="0.2">
      <c r="A4" s="1">
        <v>2030</v>
      </c>
      <c r="B4" s="1">
        <v>5.9</v>
      </c>
      <c r="C4" s="1">
        <v>17.7</v>
      </c>
      <c r="D4" s="1">
        <f>C4/1000</f>
        <v>1.77E-2</v>
      </c>
      <c r="E4" s="1"/>
      <c r="F4" s="1"/>
      <c r="G4" s="1" t="s">
        <v>115</v>
      </c>
      <c r="H4" s="1">
        <v>1.4</v>
      </c>
      <c r="I4" s="1">
        <v>1.4</v>
      </c>
      <c r="J4" s="1">
        <v>1.4</v>
      </c>
    </row>
    <row r="5" spans="1:10" ht="16" x14ac:dyDescent="0.2">
      <c r="A5" s="1"/>
      <c r="B5" s="1"/>
      <c r="C5" s="1"/>
      <c r="D5" s="1"/>
      <c r="E5" s="1"/>
      <c r="F5" s="1"/>
      <c r="G5" s="1" t="s">
        <v>116</v>
      </c>
      <c r="H5" s="1">
        <v>1.5</v>
      </c>
      <c r="I5" s="1">
        <v>1.5</v>
      </c>
      <c r="J5" s="1">
        <v>1.5</v>
      </c>
    </row>
    <row r="6" spans="1:10" ht="16" x14ac:dyDescent="0.2">
      <c r="A6" s="1"/>
      <c r="B6" s="1"/>
      <c r="C6" s="1"/>
      <c r="D6" s="1"/>
      <c r="E6" s="1"/>
      <c r="F6" s="1"/>
      <c r="G6" s="1" t="s">
        <v>8</v>
      </c>
      <c r="H6" s="1">
        <f>SUM(H3:H5)</f>
        <v>5.9</v>
      </c>
      <c r="I6" s="1">
        <f>SUM(I3:I5)</f>
        <v>5.9</v>
      </c>
      <c r="J6" s="1">
        <f>SUM(J3:J5)</f>
        <v>5.9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W18"/>
  <sheetViews>
    <sheetView workbookViewId="0">
      <selection activeCell="D18" sqref="D18"/>
    </sheetView>
  </sheetViews>
  <sheetFormatPr baseColWidth="10" defaultColWidth="8.83203125" defaultRowHeight="15" x14ac:dyDescent="0.2"/>
  <cols>
    <col min="1" max="1" width="13" customWidth="1"/>
    <col min="2" max="2" width="19.83203125" customWidth="1"/>
    <col min="3" max="3" width="21" customWidth="1"/>
    <col min="4" max="6" width="13" customWidth="1"/>
    <col min="7" max="7" width="75.6640625" customWidth="1"/>
    <col min="8" max="23" width="13" customWidth="1"/>
  </cols>
  <sheetData>
    <row r="1" spans="1:23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ht="16" x14ac:dyDescent="0.2">
      <c r="A2" s="1">
        <v>2015</v>
      </c>
      <c r="B2" s="1">
        <v>0.8</v>
      </c>
      <c r="C2" s="1">
        <v>0.8</v>
      </c>
      <c r="D2" s="1"/>
      <c r="E2" s="1"/>
      <c r="F2" s="1"/>
      <c r="G2" s="1" t="s">
        <v>4</v>
      </c>
      <c r="H2" s="1">
        <v>2015</v>
      </c>
      <c r="I2" s="1">
        <v>2016</v>
      </c>
      <c r="J2" s="1">
        <v>2017</v>
      </c>
      <c r="K2" s="1">
        <v>2018</v>
      </c>
      <c r="L2" s="1">
        <v>2019</v>
      </c>
      <c r="M2" s="1">
        <v>2020</v>
      </c>
      <c r="N2" s="1">
        <v>2021</v>
      </c>
      <c r="O2" s="1">
        <v>2022</v>
      </c>
      <c r="P2" s="1">
        <v>2023</v>
      </c>
      <c r="Q2" s="1">
        <v>2024</v>
      </c>
      <c r="R2" s="1">
        <v>2025</v>
      </c>
      <c r="S2" s="1">
        <v>2026</v>
      </c>
      <c r="T2" s="1">
        <v>2027</v>
      </c>
      <c r="U2" s="1">
        <v>2028</v>
      </c>
      <c r="V2" s="1">
        <v>2029</v>
      </c>
      <c r="W2" s="1">
        <v>2030</v>
      </c>
    </row>
    <row r="3" spans="1:23" ht="16" x14ac:dyDescent="0.2">
      <c r="A3" s="1">
        <v>2016</v>
      </c>
      <c r="B3" s="1">
        <v>1.6</v>
      </c>
      <c r="C3" s="1">
        <v>2.4</v>
      </c>
      <c r="D3" s="1"/>
      <c r="E3" s="1"/>
      <c r="F3" s="1"/>
      <c r="G3" s="1" t="s">
        <v>117</v>
      </c>
      <c r="H3" s="1">
        <v>0.8</v>
      </c>
      <c r="I3" s="1">
        <v>0.8</v>
      </c>
      <c r="J3" s="1">
        <v>0.8</v>
      </c>
      <c r="K3" s="1">
        <v>0.8</v>
      </c>
      <c r="L3" s="1">
        <v>0.8</v>
      </c>
      <c r="M3" s="1">
        <v>0.8</v>
      </c>
      <c r="N3" s="1">
        <v>0.8</v>
      </c>
      <c r="O3" s="1">
        <v>0.8</v>
      </c>
      <c r="P3" s="1">
        <v>0.8</v>
      </c>
      <c r="Q3" s="1">
        <v>0.8</v>
      </c>
      <c r="R3" s="1">
        <v>0.8</v>
      </c>
      <c r="S3" s="1">
        <v>0.8</v>
      </c>
      <c r="T3" s="1">
        <v>0.8</v>
      </c>
      <c r="U3" s="1">
        <v>0.8</v>
      </c>
      <c r="V3" s="1">
        <v>0.8</v>
      </c>
      <c r="W3" s="1">
        <v>0.8</v>
      </c>
    </row>
    <row r="4" spans="1:23" ht="16" x14ac:dyDescent="0.2">
      <c r="A4" s="1">
        <v>2017</v>
      </c>
      <c r="B4" s="1">
        <v>1.6</v>
      </c>
      <c r="C4" s="1">
        <v>4</v>
      </c>
      <c r="D4" s="1"/>
      <c r="E4" s="1"/>
      <c r="F4" s="1"/>
      <c r="G4" s="1" t="s">
        <v>118</v>
      </c>
      <c r="H4" s="1"/>
      <c r="I4" s="1">
        <v>0.8</v>
      </c>
      <c r="J4" s="1">
        <v>0.8</v>
      </c>
      <c r="K4" s="1">
        <v>0.8</v>
      </c>
      <c r="L4" s="1">
        <v>0.8</v>
      </c>
      <c r="M4" s="1">
        <v>0.8</v>
      </c>
      <c r="N4" s="1">
        <v>0.8</v>
      </c>
      <c r="O4" s="1">
        <v>0.8</v>
      </c>
      <c r="P4" s="1">
        <v>0.8</v>
      </c>
      <c r="Q4" s="1">
        <v>0.8</v>
      </c>
      <c r="R4" s="1">
        <v>0.8</v>
      </c>
      <c r="S4" s="1">
        <v>0.8</v>
      </c>
      <c r="T4" s="1">
        <v>0.8</v>
      </c>
      <c r="U4" s="1">
        <v>0.8</v>
      </c>
      <c r="V4" s="1">
        <v>0.8</v>
      </c>
      <c r="W4" s="1">
        <v>0.8</v>
      </c>
    </row>
    <row r="5" spans="1:23" ht="16" x14ac:dyDescent="0.2">
      <c r="A5" s="1">
        <v>2018</v>
      </c>
      <c r="B5" s="1">
        <v>1.6</v>
      </c>
      <c r="C5" s="1">
        <v>5.6000000000000014</v>
      </c>
      <c r="D5" s="1"/>
      <c r="E5" s="1"/>
      <c r="F5" s="1"/>
      <c r="G5" s="1" t="s">
        <v>119</v>
      </c>
      <c r="H5" s="1"/>
      <c r="I5" s="1"/>
      <c r="J5" s="1"/>
      <c r="K5" s="1"/>
      <c r="L5" s="1">
        <v>2</v>
      </c>
      <c r="M5" s="1">
        <v>2</v>
      </c>
      <c r="N5" s="1">
        <v>2</v>
      </c>
      <c r="O5" s="1">
        <v>2</v>
      </c>
      <c r="P5" s="1">
        <v>2</v>
      </c>
      <c r="Q5" s="1">
        <v>2</v>
      </c>
      <c r="R5" s="1">
        <v>2</v>
      </c>
      <c r="S5" s="1">
        <v>2</v>
      </c>
      <c r="T5" s="1">
        <v>2</v>
      </c>
      <c r="U5" s="1">
        <v>2</v>
      </c>
      <c r="V5" s="1">
        <v>2</v>
      </c>
      <c r="W5" s="1">
        <v>2</v>
      </c>
    </row>
    <row r="6" spans="1:23" ht="16" x14ac:dyDescent="0.2">
      <c r="A6" s="1">
        <v>2019</v>
      </c>
      <c r="B6" s="1">
        <v>3.6</v>
      </c>
      <c r="C6" s="1">
        <v>9.2000000000000011</v>
      </c>
      <c r="D6" s="1"/>
      <c r="E6" s="1"/>
      <c r="F6" s="1"/>
      <c r="G6" s="1" t="s">
        <v>120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>
        <v>1.5</v>
      </c>
      <c r="T6" s="1">
        <v>1.5</v>
      </c>
      <c r="U6" s="1">
        <v>1.5</v>
      </c>
      <c r="V6" s="1">
        <v>1.5</v>
      </c>
      <c r="W6" s="1">
        <v>1.5</v>
      </c>
    </row>
    <row r="7" spans="1:23" ht="16" x14ac:dyDescent="0.2">
      <c r="A7" s="1">
        <v>2020</v>
      </c>
      <c r="B7" s="1">
        <v>3.6</v>
      </c>
      <c r="C7" s="1">
        <v>12.8</v>
      </c>
      <c r="D7" s="1"/>
      <c r="E7" s="1"/>
      <c r="F7" s="1"/>
      <c r="G7" s="1" t="s">
        <v>121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>
        <v>1.5</v>
      </c>
      <c r="T7" s="1">
        <v>1.5</v>
      </c>
      <c r="U7" s="1">
        <v>1.5</v>
      </c>
      <c r="V7" s="1">
        <v>1.5</v>
      </c>
      <c r="W7" s="1">
        <v>1.5</v>
      </c>
    </row>
    <row r="8" spans="1:23" ht="16" x14ac:dyDescent="0.2">
      <c r="A8" s="1">
        <v>2021</v>
      </c>
      <c r="B8" s="1">
        <v>3.6</v>
      </c>
      <c r="C8" s="1">
        <v>16.399999999999999</v>
      </c>
      <c r="D8" s="1"/>
      <c r="E8" s="1"/>
      <c r="F8" s="1"/>
      <c r="G8" s="1" t="s">
        <v>122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>
        <v>1.8E-3</v>
      </c>
      <c r="T8" s="1">
        <v>1.8E-3</v>
      </c>
      <c r="U8" s="1">
        <v>1.8E-3</v>
      </c>
      <c r="V8" s="1">
        <v>1.8E-3</v>
      </c>
      <c r="W8" s="1">
        <v>1.8E-3</v>
      </c>
    </row>
    <row r="9" spans="1:23" ht="16" x14ac:dyDescent="0.2">
      <c r="A9" s="1">
        <v>2022</v>
      </c>
      <c r="B9" s="1">
        <v>3.6</v>
      </c>
      <c r="C9" s="1">
        <v>20</v>
      </c>
      <c r="D9" s="1"/>
      <c r="E9" s="1"/>
      <c r="F9" s="1"/>
      <c r="G9" s="1" t="s">
        <v>123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>
        <v>1.5</v>
      </c>
      <c r="V9" s="1">
        <v>1.5</v>
      </c>
      <c r="W9" s="1">
        <v>1.5</v>
      </c>
    </row>
    <row r="10" spans="1:23" ht="16" x14ac:dyDescent="0.2">
      <c r="A10" s="1">
        <v>2023</v>
      </c>
      <c r="B10" s="1">
        <v>3.6</v>
      </c>
      <c r="C10" s="1">
        <v>23.6</v>
      </c>
      <c r="D10" s="1"/>
      <c r="E10" s="1"/>
      <c r="F10" s="1"/>
      <c r="G10" s="1" t="s">
        <v>124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>
        <v>9</v>
      </c>
      <c r="V10" s="1">
        <v>9</v>
      </c>
      <c r="W10" s="1">
        <v>9</v>
      </c>
    </row>
    <row r="11" spans="1:23" ht="16" x14ac:dyDescent="0.2">
      <c r="A11" s="1">
        <v>2024</v>
      </c>
      <c r="B11" s="1">
        <v>3.6</v>
      </c>
      <c r="C11" s="1">
        <v>27.2</v>
      </c>
      <c r="D11" s="1"/>
      <c r="E11" s="1"/>
      <c r="F11" s="1"/>
      <c r="G11" s="1" t="s">
        <v>125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>
        <v>4.3</v>
      </c>
    </row>
    <row r="12" spans="1:23" ht="16" x14ac:dyDescent="0.2">
      <c r="A12" s="1">
        <v>2025</v>
      </c>
      <c r="B12" s="1">
        <v>3.6</v>
      </c>
      <c r="C12" s="1">
        <v>30.8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3" ht="16" x14ac:dyDescent="0.2">
      <c r="A13" s="1">
        <v>2026</v>
      </c>
      <c r="B13" s="1">
        <v>6.6017999999999999</v>
      </c>
      <c r="C13" s="1">
        <v>37.401800000000001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3" ht="16" x14ac:dyDescent="0.2">
      <c r="A14" s="1">
        <v>2027</v>
      </c>
      <c r="B14" s="1">
        <v>6.6017999999999999</v>
      </c>
      <c r="C14" s="1">
        <v>44.003599999999999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23" ht="16" x14ac:dyDescent="0.2">
      <c r="A15" s="1">
        <v>2028</v>
      </c>
      <c r="B15" s="1">
        <v>17.101800000000001</v>
      </c>
      <c r="C15" s="1">
        <v>61.105400000000003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3" ht="16" x14ac:dyDescent="0.2">
      <c r="A16" s="1">
        <v>2029</v>
      </c>
      <c r="B16" s="1">
        <v>17.101800000000001</v>
      </c>
      <c r="C16" s="1">
        <v>78.2072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1:23" ht="16" x14ac:dyDescent="0.2">
      <c r="A17" s="1">
        <v>2030</v>
      </c>
      <c r="B17" s="1">
        <v>21.401800000000001</v>
      </c>
      <c r="C17" s="1">
        <v>99.609000000000009</v>
      </c>
      <c r="D17" s="1">
        <f>C17/1000</f>
        <v>9.9609000000000003E-2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3" ht="16" x14ac:dyDescent="0.2">
      <c r="A18" s="1"/>
      <c r="B18" s="1"/>
      <c r="C18" s="1"/>
      <c r="D18" s="1"/>
      <c r="E18" s="1"/>
      <c r="F18" s="1"/>
      <c r="G18" s="1" t="s">
        <v>8</v>
      </c>
      <c r="H18" s="1">
        <f t="shared" ref="H18:W18" si="0">SUM(H3:H11)</f>
        <v>0.8</v>
      </c>
      <c r="I18" s="1">
        <f t="shared" si="0"/>
        <v>1.6</v>
      </c>
      <c r="J18" s="1">
        <f t="shared" si="0"/>
        <v>1.6</v>
      </c>
      <c r="K18" s="1">
        <f t="shared" si="0"/>
        <v>1.6</v>
      </c>
      <c r="L18" s="1">
        <f t="shared" si="0"/>
        <v>3.6</v>
      </c>
      <c r="M18" s="1">
        <f t="shared" si="0"/>
        <v>3.6</v>
      </c>
      <c r="N18" s="1">
        <f t="shared" si="0"/>
        <v>3.6</v>
      </c>
      <c r="O18" s="1">
        <f t="shared" si="0"/>
        <v>3.6</v>
      </c>
      <c r="P18" s="1">
        <f t="shared" si="0"/>
        <v>3.6</v>
      </c>
      <c r="Q18" s="1">
        <f t="shared" si="0"/>
        <v>3.6</v>
      </c>
      <c r="R18" s="1">
        <f t="shared" si="0"/>
        <v>3.6</v>
      </c>
      <c r="S18" s="1">
        <f t="shared" si="0"/>
        <v>6.6017999999999999</v>
      </c>
      <c r="T18" s="1">
        <f t="shared" si="0"/>
        <v>6.6017999999999999</v>
      </c>
      <c r="U18" s="1">
        <f t="shared" si="0"/>
        <v>17.101800000000001</v>
      </c>
      <c r="V18" s="1">
        <f t="shared" si="0"/>
        <v>17.101800000000001</v>
      </c>
      <c r="W18" s="1">
        <f t="shared" si="0"/>
        <v>21.401800000000001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D25"/>
  <sheetViews>
    <sheetView zoomScale="89" workbookViewId="0">
      <selection activeCell="D25" sqref="D25"/>
    </sheetView>
  </sheetViews>
  <sheetFormatPr baseColWidth="10" defaultColWidth="8.83203125" defaultRowHeight="15" x14ac:dyDescent="0.2"/>
  <cols>
    <col min="1" max="1" width="13" customWidth="1"/>
    <col min="2" max="2" width="19.83203125" customWidth="1"/>
    <col min="3" max="3" width="21" customWidth="1"/>
    <col min="4" max="6" width="13" customWidth="1"/>
    <col min="7" max="7" width="75.6640625" customWidth="1"/>
    <col min="8" max="30" width="13" customWidth="1"/>
  </cols>
  <sheetData>
    <row r="1" spans="1:30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ht="16" x14ac:dyDescent="0.2">
      <c r="A2" s="1">
        <v>2008</v>
      </c>
      <c r="B2" s="1">
        <v>14.2</v>
      </c>
      <c r="C2" s="1">
        <v>14.2</v>
      </c>
      <c r="D2" s="1"/>
      <c r="E2" s="1"/>
      <c r="F2" s="1"/>
      <c r="G2" s="1" t="s">
        <v>4</v>
      </c>
      <c r="H2" s="1">
        <v>2008</v>
      </c>
      <c r="I2" s="1">
        <v>2009</v>
      </c>
      <c r="J2" s="1">
        <v>2010</v>
      </c>
      <c r="K2" s="1">
        <v>2011</v>
      </c>
      <c r="L2" s="1">
        <v>2012</v>
      </c>
      <c r="M2" s="1">
        <v>2013</v>
      </c>
      <c r="N2" s="1">
        <v>2014</v>
      </c>
      <c r="O2" s="1">
        <v>2015</v>
      </c>
      <c r="P2" s="1">
        <v>2016</v>
      </c>
      <c r="Q2" s="1">
        <v>2017</v>
      </c>
      <c r="R2" s="1">
        <v>2018</v>
      </c>
      <c r="S2" s="1">
        <v>2019</v>
      </c>
      <c r="T2" s="1">
        <v>2020</v>
      </c>
      <c r="U2" s="1">
        <v>2021</v>
      </c>
      <c r="V2" s="1">
        <v>2022</v>
      </c>
      <c r="W2" s="1">
        <v>2023</v>
      </c>
      <c r="X2" s="1">
        <v>2024</v>
      </c>
      <c r="Y2" s="1">
        <v>2025</v>
      </c>
      <c r="Z2" s="1">
        <v>2026</v>
      </c>
      <c r="AA2" s="1">
        <v>2027</v>
      </c>
      <c r="AB2" s="1">
        <v>2028</v>
      </c>
      <c r="AC2" s="1">
        <v>2029</v>
      </c>
      <c r="AD2" s="1">
        <v>2030</v>
      </c>
    </row>
    <row r="3" spans="1:30" ht="16" x14ac:dyDescent="0.2">
      <c r="A3" s="1">
        <v>2009</v>
      </c>
      <c r="B3" s="1">
        <v>14.2</v>
      </c>
      <c r="C3" s="1">
        <v>28.4</v>
      </c>
      <c r="D3" s="1"/>
      <c r="E3" s="1"/>
      <c r="F3" s="1"/>
      <c r="G3" s="1" t="s">
        <v>126</v>
      </c>
      <c r="H3" s="1">
        <v>14.2</v>
      </c>
      <c r="I3" s="1">
        <v>14.2</v>
      </c>
      <c r="J3" s="1">
        <v>14.2</v>
      </c>
      <c r="K3" s="1">
        <v>14.2</v>
      </c>
      <c r="L3" s="1">
        <v>14.2</v>
      </c>
      <c r="M3" s="1">
        <v>14.2</v>
      </c>
      <c r="N3" s="1">
        <v>14.2</v>
      </c>
      <c r="O3" s="1">
        <v>14.2</v>
      </c>
      <c r="P3" s="1">
        <v>14.2</v>
      </c>
      <c r="Q3" s="1">
        <v>14.2</v>
      </c>
      <c r="R3" s="1">
        <v>14.2</v>
      </c>
      <c r="S3" s="1">
        <v>14.2</v>
      </c>
      <c r="T3" s="1">
        <v>14.2</v>
      </c>
      <c r="U3" s="1">
        <v>14.2</v>
      </c>
      <c r="V3" s="1">
        <v>14.2</v>
      </c>
      <c r="W3" s="1">
        <v>14.2</v>
      </c>
      <c r="X3" s="1">
        <v>14.2</v>
      </c>
      <c r="Y3" s="1">
        <v>14.2</v>
      </c>
      <c r="Z3" s="1">
        <v>14.2</v>
      </c>
      <c r="AA3" s="1">
        <v>14.2</v>
      </c>
      <c r="AB3" s="1">
        <v>14.2</v>
      </c>
      <c r="AC3" s="1">
        <v>14.2</v>
      </c>
      <c r="AD3" s="1">
        <v>14.2</v>
      </c>
    </row>
    <row r="4" spans="1:30" ht="16" x14ac:dyDescent="0.2">
      <c r="A4" s="1">
        <v>2010</v>
      </c>
      <c r="B4" s="1">
        <v>14.2</v>
      </c>
      <c r="C4" s="1">
        <v>42.599999999999987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ht="16" x14ac:dyDescent="0.2">
      <c r="A5" s="1">
        <v>2011</v>
      </c>
      <c r="B5" s="1">
        <v>14.2</v>
      </c>
      <c r="C5" s="1">
        <v>56.8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ht="16" x14ac:dyDescent="0.2">
      <c r="A6" s="1">
        <v>2012</v>
      </c>
      <c r="B6" s="1">
        <v>14.2</v>
      </c>
      <c r="C6" s="1">
        <v>71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ht="16" x14ac:dyDescent="0.2">
      <c r="A7" s="1">
        <v>2013</v>
      </c>
      <c r="B7" s="1">
        <v>14.2</v>
      </c>
      <c r="C7" s="1">
        <v>85.199999999999989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 spans="1:30" ht="16" x14ac:dyDescent="0.2">
      <c r="A8" s="1">
        <v>2014</v>
      </c>
      <c r="B8" s="1">
        <v>14.2</v>
      </c>
      <c r="C8" s="1">
        <v>99.399999999999991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 spans="1:30" ht="16" x14ac:dyDescent="0.2">
      <c r="A9" s="1">
        <v>2015</v>
      </c>
      <c r="B9" s="1">
        <v>14.2</v>
      </c>
      <c r="C9" s="1">
        <v>113.6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spans="1:30" ht="16" x14ac:dyDescent="0.2">
      <c r="A10" s="1">
        <v>2016</v>
      </c>
      <c r="B10" s="1">
        <v>14.2</v>
      </c>
      <c r="C10" s="1">
        <v>127.8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 spans="1:30" ht="16" x14ac:dyDescent="0.2">
      <c r="A11" s="1">
        <v>2017</v>
      </c>
      <c r="B11" s="1">
        <v>14.2</v>
      </c>
      <c r="C11" s="1">
        <v>142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 spans="1:30" ht="16" x14ac:dyDescent="0.2">
      <c r="A12" s="1">
        <v>2018</v>
      </c>
      <c r="B12" s="1">
        <v>14.2</v>
      </c>
      <c r="C12" s="1">
        <v>156.19999999999999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 spans="1:30" ht="16" x14ac:dyDescent="0.2">
      <c r="A13" s="1">
        <v>2019</v>
      </c>
      <c r="B13" s="1">
        <v>14.2</v>
      </c>
      <c r="C13" s="1">
        <v>170.4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 spans="1:30" ht="16" x14ac:dyDescent="0.2">
      <c r="A14" s="1">
        <v>2020</v>
      </c>
      <c r="B14" s="1">
        <v>14.2</v>
      </c>
      <c r="C14" s="1">
        <v>184.6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 spans="1:30" ht="16" x14ac:dyDescent="0.2">
      <c r="A15" s="1">
        <v>2021</v>
      </c>
      <c r="B15" s="1">
        <v>14.2</v>
      </c>
      <c r="C15" s="1">
        <v>198.8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 spans="1:30" ht="16" x14ac:dyDescent="0.2">
      <c r="A16" s="1">
        <v>2022</v>
      </c>
      <c r="B16" s="1">
        <v>14.2</v>
      </c>
      <c r="C16" s="1">
        <v>213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spans="1:30" ht="16" x14ac:dyDescent="0.2">
      <c r="A17" s="1">
        <v>2023</v>
      </c>
      <c r="B17" s="1">
        <v>14.2</v>
      </c>
      <c r="C17" s="1">
        <v>227.2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spans="1:30" ht="16" x14ac:dyDescent="0.2">
      <c r="A18" s="1">
        <v>2024</v>
      </c>
      <c r="B18" s="1">
        <v>14.2</v>
      </c>
      <c r="C18" s="1">
        <v>241.4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spans="1:30" ht="16" x14ac:dyDescent="0.2">
      <c r="A19" s="1">
        <v>2025</v>
      </c>
      <c r="B19" s="1">
        <v>14.2</v>
      </c>
      <c r="C19" s="1">
        <v>255.6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spans="1:30" ht="16" x14ac:dyDescent="0.2">
      <c r="A20" s="1">
        <v>2026</v>
      </c>
      <c r="B20" s="1">
        <v>14.2</v>
      </c>
      <c r="C20" s="1">
        <v>269.8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spans="1:30" ht="16" x14ac:dyDescent="0.2">
      <c r="A21" s="1">
        <v>2027</v>
      </c>
      <c r="B21" s="1">
        <v>14.2</v>
      </c>
      <c r="C21" s="1">
        <v>284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spans="1:30" ht="16" x14ac:dyDescent="0.2">
      <c r="A22" s="1">
        <v>2028</v>
      </c>
      <c r="B22" s="1">
        <v>14.2</v>
      </c>
      <c r="C22" s="1">
        <v>298.2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spans="1:30" ht="16" x14ac:dyDescent="0.2">
      <c r="A23" s="1">
        <v>2029</v>
      </c>
      <c r="B23" s="1">
        <v>14.2</v>
      </c>
      <c r="C23" s="1">
        <v>312.39999999999998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spans="1:30" ht="16" x14ac:dyDescent="0.2">
      <c r="A24" s="1">
        <v>2030</v>
      </c>
      <c r="B24" s="1">
        <v>14.2</v>
      </c>
      <c r="C24" s="1">
        <v>326.60000000000002</v>
      </c>
      <c r="D24" s="1">
        <f>C24/1000</f>
        <v>0.3266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spans="1:30" ht="16" x14ac:dyDescent="0.2">
      <c r="A25" s="1"/>
      <c r="B25" s="1"/>
      <c r="C25" s="1"/>
      <c r="D25" s="1"/>
      <c r="E25" s="1"/>
      <c r="F25" s="1"/>
      <c r="G25" s="1" t="s">
        <v>8</v>
      </c>
      <c r="H25" s="1">
        <f t="shared" ref="H25:AD25" si="0">SUM(H3:H3)</f>
        <v>14.2</v>
      </c>
      <c r="I25" s="1">
        <f t="shared" si="0"/>
        <v>14.2</v>
      </c>
      <c r="J25" s="1">
        <f t="shared" si="0"/>
        <v>14.2</v>
      </c>
      <c r="K25" s="1">
        <f t="shared" si="0"/>
        <v>14.2</v>
      </c>
      <c r="L25" s="1">
        <f t="shared" si="0"/>
        <v>14.2</v>
      </c>
      <c r="M25" s="1">
        <f t="shared" si="0"/>
        <v>14.2</v>
      </c>
      <c r="N25" s="1">
        <f t="shared" si="0"/>
        <v>14.2</v>
      </c>
      <c r="O25" s="1">
        <f t="shared" si="0"/>
        <v>14.2</v>
      </c>
      <c r="P25" s="1">
        <f t="shared" si="0"/>
        <v>14.2</v>
      </c>
      <c r="Q25" s="1">
        <f t="shared" si="0"/>
        <v>14.2</v>
      </c>
      <c r="R25" s="1">
        <f t="shared" si="0"/>
        <v>14.2</v>
      </c>
      <c r="S25" s="1">
        <f t="shared" si="0"/>
        <v>14.2</v>
      </c>
      <c r="T25" s="1">
        <f t="shared" si="0"/>
        <v>14.2</v>
      </c>
      <c r="U25" s="1">
        <f t="shared" si="0"/>
        <v>14.2</v>
      </c>
      <c r="V25" s="1">
        <f t="shared" si="0"/>
        <v>14.2</v>
      </c>
      <c r="W25" s="1">
        <f t="shared" si="0"/>
        <v>14.2</v>
      </c>
      <c r="X25" s="1">
        <f t="shared" si="0"/>
        <v>14.2</v>
      </c>
      <c r="Y25" s="1">
        <f t="shared" si="0"/>
        <v>14.2</v>
      </c>
      <c r="Z25" s="1">
        <f t="shared" si="0"/>
        <v>14.2</v>
      </c>
      <c r="AA25" s="1">
        <f t="shared" si="0"/>
        <v>14.2</v>
      </c>
      <c r="AB25" s="1">
        <f t="shared" si="0"/>
        <v>14.2</v>
      </c>
      <c r="AC25" s="1">
        <f t="shared" si="0"/>
        <v>14.2</v>
      </c>
      <c r="AD25" s="1">
        <f t="shared" si="0"/>
        <v>14.2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33"/>
  <sheetViews>
    <sheetView workbookViewId="0">
      <selection activeCell="D7" sqref="D7"/>
    </sheetView>
  </sheetViews>
  <sheetFormatPr baseColWidth="10" defaultColWidth="8.83203125" defaultRowHeight="15" x14ac:dyDescent="0.2"/>
  <cols>
    <col min="1" max="1" width="13" customWidth="1"/>
    <col min="2" max="2" width="19.83203125" customWidth="1"/>
    <col min="3" max="3" width="21" customWidth="1"/>
    <col min="4" max="6" width="13" customWidth="1"/>
    <col min="7" max="7" width="75.6640625" customWidth="1"/>
    <col min="8" max="12" width="13" customWidth="1"/>
  </cols>
  <sheetData>
    <row r="1" spans="1:12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/>
      <c r="I1" s="1"/>
      <c r="J1" s="1"/>
      <c r="K1" s="1"/>
      <c r="L1" s="1"/>
    </row>
    <row r="2" spans="1:12" ht="16" x14ac:dyDescent="0.2">
      <c r="A2" s="1">
        <v>2026</v>
      </c>
      <c r="B2" s="1">
        <v>0.4</v>
      </c>
      <c r="C2" s="1">
        <v>0.4</v>
      </c>
      <c r="D2" s="1"/>
      <c r="E2" s="1"/>
      <c r="F2" s="1"/>
      <c r="G2" s="1" t="s">
        <v>4</v>
      </c>
      <c r="H2" s="1">
        <v>2026</v>
      </c>
      <c r="I2" s="1">
        <v>2027</v>
      </c>
      <c r="J2" s="1">
        <v>2028</v>
      </c>
      <c r="K2" s="1">
        <v>2029</v>
      </c>
      <c r="L2" s="1">
        <v>2030</v>
      </c>
    </row>
    <row r="3" spans="1:12" ht="16" x14ac:dyDescent="0.2">
      <c r="A3" s="1">
        <v>2027</v>
      </c>
      <c r="B3" s="1">
        <v>11.84</v>
      </c>
      <c r="C3" s="1">
        <v>12.24</v>
      </c>
      <c r="D3" s="1"/>
      <c r="E3" s="1"/>
      <c r="F3" s="1"/>
      <c r="G3" s="1" t="s">
        <v>127</v>
      </c>
      <c r="H3" s="1">
        <v>0.4</v>
      </c>
      <c r="I3" s="1">
        <v>0.4</v>
      </c>
      <c r="J3" s="1">
        <v>0.4</v>
      </c>
      <c r="K3" s="1">
        <v>0.4</v>
      </c>
      <c r="L3" s="1">
        <v>0.4</v>
      </c>
    </row>
    <row r="4" spans="1:12" ht="16" x14ac:dyDescent="0.2">
      <c r="A4" s="1">
        <v>2028</v>
      </c>
      <c r="B4" s="1">
        <v>25.09</v>
      </c>
      <c r="C4" s="1">
        <v>37.33</v>
      </c>
      <c r="D4" s="1"/>
      <c r="E4" s="1"/>
      <c r="F4" s="1"/>
      <c r="G4" s="1" t="s">
        <v>128</v>
      </c>
      <c r="H4" s="1"/>
      <c r="I4" s="1">
        <v>8</v>
      </c>
      <c r="J4" s="1">
        <v>8</v>
      </c>
      <c r="K4" s="1">
        <v>8</v>
      </c>
      <c r="L4" s="1">
        <v>8</v>
      </c>
    </row>
    <row r="5" spans="1:12" ht="16" x14ac:dyDescent="0.2">
      <c r="A5" s="1">
        <v>2029</v>
      </c>
      <c r="B5" s="1">
        <v>29.98</v>
      </c>
      <c r="C5" s="1">
        <v>67.31</v>
      </c>
      <c r="D5" s="1"/>
      <c r="E5" s="1"/>
      <c r="F5" s="1"/>
      <c r="G5" s="1" t="s">
        <v>129</v>
      </c>
      <c r="H5" s="1"/>
      <c r="I5" s="1">
        <v>0.6</v>
      </c>
      <c r="J5" s="1">
        <v>0.6</v>
      </c>
      <c r="K5" s="1">
        <v>0.6</v>
      </c>
      <c r="L5" s="1">
        <v>0.6</v>
      </c>
    </row>
    <row r="6" spans="1:12" ht="16" x14ac:dyDescent="0.2">
      <c r="A6" s="1">
        <v>2030</v>
      </c>
      <c r="B6" s="1">
        <v>46.21</v>
      </c>
      <c r="C6" s="1">
        <v>113.52</v>
      </c>
      <c r="D6" s="1">
        <f>C6/1000</f>
        <v>0.11352</v>
      </c>
      <c r="E6" s="1"/>
      <c r="F6" s="1"/>
      <c r="G6" s="1" t="s">
        <v>130</v>
      </c>
      <c r="H6" s="1"/>
      <c r="I6" s="1">
        <v>2.6</v>
      </c>
      <c r="J6" s="1">
        <v>2.6</v>
      </c>
      <c r="K6" s="1">
        <v>2.6</v>
      </c>
      <c r="L6" s="1">
        <v>2.6</v>
      </c>
    </row>
    <row r="7" spans="1:12" ht="16" x14ac:dyDescent="0.2">
      <c r="A7" s="1"/>
      <c r="B7" s="1"/>
      <c r="C7" s="1"/>
      <c r="D7" s="1"/>
      <c r="E7" s="1"/>
      <c r="F7" s="1"/>
      <c r="G7" s="1" t="s">
        <v>131</v>
      </c>
      <c r="H7" s="1"/>
      <c r="I7" s="1">
        <v>0.24</v>
      </c>
      <c r="J7" s="1">
        <v>0.24</v>
      </c>
      <c r="K7" s="1">
        <v>0.24</v>
      </c>
      <c r="L7" s="1">
        <v>0.24</v>
      </c>
    </row>
    <row r="8" spans="1:12" ht="16" x14ac:dyDescent="0.2">
      <c r="A8" s="1"/>
      <c r="B8" s="1"/>
      <c r="C8" s="1"/>
      <c r="D8" s="1"/>
      <c r="E8" s="1"/>
      <c r="F8" s="1"/>
      <c r="G8" s="1" t="s">
        <v>132</v>
      </c>
      <c r="H8" s="1"/>
      <c r="I8" s="1"/>
      <c r="J8" s="1">
        <v>0.2</v>
      </c>
      <c r="K8" s="1">
        <v>0.2</v>
      </c>
      <c r="L8" s="1">
        <v>0.2</v>
      </c>
    </row>
    <row r="9" spans="1:12" ht="16" x14ac:dyDescent="0.2">
      <c r="A9" s="1"/>
      <c r="B9" s="1"/>
      <c r="C9" s="1"/>
      <c r="D9" s="1"/>
      <c r="E9" s="1"/>
      <c r="F9" s="1"/>
      <c r="G9" s="1" t="s">
        <v>133</v>
      </c>
      <c r="H9" s="1"/>
      <c r="I9" s="1"/>
      <c r="J9" s="1">
        <v>1.9</v>
      </c>
      <c r="K9" s="1">
        <v>1.9</v>
      </c>
      <c r="L9" s="1">
        <v>1.9</v>
      </c>
    </row>
    <row r="10" spans="1:12" ht="16" x14ac:dyDescent="0.2">
      <c r="A10" s="1"/>
      <c r="B10" s="1"/>
      <c r="C10" s="1"/>
      <c r="D10" s="1"/>
      <c r="E10" s="1"/>
      <c r="F10" s="1"/>
      <c r="G10" s="1" t="s">
        <v>134</v>
      </c>
      <c r="H10" s="1"/>
      <c r="I10" s="1"/>
      <c r="J10" s="1">
        <v>0.45</v>
      </c>
      <c r="K10" s="1">
        <v>0.45</v>
      </c>
      <c r="L10" s="1">
        <v>0.45</v>
      </c>
    </row>
    <row r="11" spans="1:12" ht="16" x14ac:dyDescent="0.2">
      <c r="A11" s="1"/>
      <c r="B11" s="1"/>
      <c r="C11" s="1"/>
      <c r="D11" s="1"/>
      <c r="E11" s="1"/>
      <c r="F11" s="1"/>
      <c r="G11" s="1" t="s">
        <v>135</v>
      </c>
      <c r="H11" s="1"/>
      <c r="I11" s="1"/>
      <c r="J11" s="1">
        <v>2</v>
      </c>
      <c r="K11" s="1">
        <v>2</v>
      </c>
      <c r="L11" s="1">
        <v>2</v>
      </c>
    </row>
    <row r="12" spans="1:12" ht="16" x14ac:dyDescent="0.2">
      <c r="A12" s="1"/>
      <c r="B12" s="1"/>
      <c r="C12" s="1"/>
      <c r="D12" s="1"/>
      <c r="E12" s="1"/>
      <c r="F12" s="1"/>
      <c r="G12" s="1" t="s">
        <v>136</v>
      </c>
      <c r="H12" s="1"/>
      <c r="I12" s="1"/>
      <c r="J12" s="1">
        <v>2</v>
      </c>
      <c r="K12" s="1">
        <v>2</v>
      </c>
      <c r="L12" s="1">
        <v>2</v>
      </c>
    </row>
    <row r="13" spans="1:12" ht="16" x14ac:dyDescent="0.2">
      <c r="A13" s="1"/>
      <c r="B13" s="1"/>
      <c r="C13" s="1"/>
      <c r="D13" s="1"/>
      <c r="E13" s="1"/>
      <c r="F13" s="1"/>
      <c r="G13" s="1" t="s">
        <v>137</v>
      </c>
      <c r="H13" s="1"/>
      <c r="I13" s="1"/>
      <c r="J13" s="1">
        <v>0.5</v>
      </c>
      <c r="K13" s="1">
        <v>0.5</v>
      </c>
      <c r="L13" s="1">
        <v>0.5</v>
      </c>
    </row>
    <row r="14" spans="1:12" ht="16" x14ac:dyDescent="0.2">
      <c r="A14" s="1"/>
      <c r="B14" s="1"/>
      <c r="C14" s="1"/>
      <c r="D14" s="1"/>
      <c r="E14" s="1"/>
      <c r="F14" s="1"/>
      <c r="G14" s="1" t="s">
        <v>138</v>
      </c>
      <c r="H14" s="1"/>
      <c r="I14" s="1"/>
      <c r="J14" s="1">
        <v>1</v>
      </c>
      <c r="K14" s="1">
        <v>1</v>
      </c>
      <c r="L14" s="1">
        <v>1</v>
      </c>
    </row>
    <row r="15" spans="1:12" ht="16" x14ac:dyDescent="0.2">
      <c r="A15" s="1"/>
      <c r="B15" s="1"/>
      <c r="C15" s="1"/>
      <c r="D15" s="1"/>
      <c r="E15" s="1"/>
      <c r="F15" s="1"/>
      <c r="G15" s="1" t="s">
        <v>139</v>
      </c>
      <c r="H15" s="1"/>
      <c r="I15" s="1"/>
      <c r="J15" s="1">
        <v>1</v>
      </c>
      <c r="K15" s="1">
        <v>1</v>
      </c>
      <c r="L15" s="1">
        <v>1</v>
      </c>
    </row>
    <row r="16" spans="1:12" ht="16" x14ac:dyDescent="0.2">
      <c r="A16" s="1"/>
      <c r="B16" s="1"/>
      <c r="C16" s="1"/>
      <c r="D16" s="1"/>
      <c r="E16" s="1"/>
      <c r="F16" s="1"/>
      <c r="G16" s="1" t="s">
        <v>140</v>
      </c>
      <c r="H16" s="1"/>
      <c r="I16" s="1"/>
      <c r="J16" s="1">
        <v>0.9</v>
      </c>
      <c r="K16" s="1">
        <v>0.9</v>
      </c>
      <c r="L16" s="1">
        <v>0.9</v>
      </c>
    </row>
    <row r="17" spans="1:12" ht="16" x14ac:dyDescent="0.2">
      <c r="A17" s="1"/>
      <c r="B17" s="1"/>
      <c r="C17" s="1"/>
      <c r="D17" s="1"/>
      <c r="E17" s="1"/>
      <c r="F17" s="1"/>
      <c r="G17" s="1" t="s">
        <v>141</v>
      </c>
      <c r="H17" s="1"/>
      <c r="I17" s="1"/>
      <c r="J17" s="1">
        <v>3.3</v>
      </c>
      <c r="K17" s="1">
        <v>3.3</v>
      </c>
      <c r="L17" s="1">
        <v>3.3</v>
      </c>
    </row>
    <row r="18" spans="1:12" ht="16" x14ac:dyDescent="0.2">
      <c r="A18" s="1"/>
      <c r="B18" s="1"/>
      <c r="C18" s="1"/>
      <c r="D18" s="1"/>
      <c r="E18" s="1"/>
      <c r="F18" s="1"/>
      <c r="G18" s="1" t="s">
        <v>142</v>
      </c>
      <c r="H18" s="1"/>
      <c r="I18" s="1"/>
      <c r="J18" s="1"/>
      <c r="K18" s="1">
        <v>0.38</v>
      </c>
      <c r="L18" s="1">
        <v>0.38</v>
      </c>
    </row>
    <row r="19" spans="1:12" ht="16" x14ac:dyDescent="0.2">
      <c r="A19" s="1"/>
      <c r="B19" s="1"/>
      <c r="C19" s="1"/>
      <c r="D19" s="1"/>
      <c r="E19" s="1"/>
      <c r="F19" s="1"/>
      <c r="G19" s="1" t="s">
        <v>143</v>
      </c>
      <c r="H19" s="1"/>
      <c r="I19" s="1"/>
      <c r="J19" s="1"/>
      <c r="K19" s="1">
        <v>0.89</v>
      </c>
      <c r="L19" s="1">
        <v>0.89</v>
      </c>
    </row>
    <row r="20" spans="1:12" ht="16" x14ac:dyDescent="0.2">
      <c r="A20" s="1"/>
      <c r="B20" s="1"/>
      <c r="C20" s="1"/>
      <c r="D20" s="1"/>
      <c r="E20" s="1"/>
      <c r="F20" s="1"/>
      <c r="G20" s="1" t="s">
        <v>144</v>
      </c>
      <c r="H20" s="1"/>
      <c r="I20" s="1"/>
      <c r="J20" s="1"/>
      <c r="K20" s="1">
        <v>0.22</v>
      </c>
      <c r="L20" s="1">
        <v>0.22</v>
      </c>
    </row>
    <row r="21" spans="1:12" ht="16" x14ac:dyDescent="0.2">
      <c r="A21" s="1"/>
      <c r="B21" s="1"/>
      <c r="C21" s="1"/>
      <c r="D21" s="1"/>
      <c r="E21" s="1"/>
      <c r="F21" s="1"/>
      <c r="G21" s="1" t="s">
        <v>145</v>
      </c>
      <c r="H21" s="1"/>
      <c r="I21" s="1"/>
      <c r="J21" s="1"/>
      <c r="K21" s="1">
        <v>0.8</v>
      </c>
      <c r="L21" s="1">
        <v>0.8</v>
      </c>
    </row>
    <row r="22" spans="1:12" ht="16" x14ac:dyDescent="0.2">
      <c r="A22" s="1"/>
      <c r="B22" s="1"/>
      <c r="C22" s="1"/>
      <c r="D22" s="1"/>
      <c r="E22" s="1"/>
      <c r="F22" s="1"/>
      <c r="G22" s="1" t="s">
        <v>146</v>
      </c>
      <c r="H22" s="1"/>
      <c r="I22" s="1"/>
      <c r="J22" s="1"/>
      <c r="K22" s="1">
        <v>1</v>
      </c>
      <c r="L22" s="1">
        <v>1</v>
      </c>
    </row>
    <row r="23" spans="1:12" ht="16" x14ac:dyDescent="0.2">
      <c r="A23" s="1"/>
      <c r="B23" s="1"/>
      <c r="C23" s="1"/>
      <c r="D23" s="1"/>
      <c r="E23" s="1"/>
      <c r="F23" s="1"/>
      <c r="G23" s="1" t="s">
        <v>147</v>
      </c>
      <c r="H23" s="1"/>
      <c r="I23" s="1"/>
      <c r="J23" s="1"/>
      <c r="K23" s="1">
        <v>1.6</v>
      </c>
      <c r="L23" s="1">
        <v>1.6</v>
      </c>
    </row>
    <row r="24" spans="1:12" ht="16" x14ac:dyDescent="0.2">
      <c r="A24" s="1"/>
      <c r="B24" s="1"/>
      <c r="C24" s="1"/>
      <c r="D24" s="1"/>
      <c r="E24" s="1"/>
      <c r="F24" s="1"/>
      <c r="G24" s="1" t="s">
        <v>148</v>
      </c>
      <c r="H24" s="1"/>
      <c r="I24" s="1"/>
      <c r="J24" s="1"/>
      <c r="K24" s="1"/>
      <c r="L24" s="1">
        <v>0.6</v>
      </c>
    </row>
    <row r="25" spans="1:12" ht="16" x14ac:dyDescent="0.2">
      <c r="A25" s="1"/>
      <c r="B25" s="1"/>
      <c r="C25" s="1"/>
      <c r="D25" s="1"/>
      <c r="E25" s="1"/>
      <c r="F25" s="1"/>
      <c r="G25" s="1" t="s">
        <v>149</v>
      </c>
      <c r="H25" s="1"/>
      <c r="I25" s="1"/>
      <c r="J25" s="1"/>
      <c r="K25" s="1"/>
      <c r="L25" s="1">
        <v>1.3</v>
      </c>
    </row>
    <row r="26" spans="1:12" ht="16" x14ac:dyDescent="0.2">
      <c r="A26" s="1"/>
      <c r="B26" s="1"/>
      <c r="C26" s="1"/>
      <c r="D26" s="1"/>
      <c r="E26" s="1"/>
      <c r="F26" s="1"/>
      <c r="G26" s="1" t="s">
        <v>150</v>
      </c>
      <c r="H26" s="1"/>
      <c r="I26" s="1"/>
      <c r="J26" s="1"/>
      <c r="K26" s="1"/>
      <c r="L26" s="1">
        <v>1.2</v>
      </c>
    </row>
    <row r="27" spans="1:12" ht="16" x14ac:dyDescent="0.2">
      <c r="A27" s="1"/>
      <c r="B27" s="1"/>
      <c r="C27" s="1"/>
      <c r="D27" s="1"/>
      <c r="E27" s="1"/>
      <c r="F27" s="1"/>
      <c r="G27" s="1" t="s">
        <v>151</v>
      </c>
      <c r="H27" s="1"/>
      <c r="I27" s="1"/>
      <c r="J27" s="1"/>
      <c r="K27" s="1"/>
      <c r="L27" s="1">
        <v>2.7</v>
      </c>
    </row>
    <row r="28" spans="1:12" ht="16" x14ac:dyDescent="0.2">
      <c r="A28" s="1"/>
      <c r="B28" s="1"/>
      <c r="C28" s="1"/>
      <c r="D28" s="1"/>
      <c r="E28" s="1"/>
      <c r="F28" s="1"/>
      <c r="G28" s="1" t="s">
        <v>152</v>
      </c>
      <c r="H28" s="1"/>
      <c r="I28" s="1"/>
      <c r="J28" s="1"/>
      <c r="K28" s="1"/>
      <c r="L28" s="1">
        <v>0.65</v>
      </c>
    </row>
    <row r="29" spans="1:12" ht="16" x14ac:dyDescent="0.2">
      <c r="A29" s="1"/>
      <c r="B29" s="1"/>
      <c r="C29" s="1"/>
      <c r="D29" s="1"/>
      <c r="E29" s="1"/>
      <c r="F29" s="1"/>
      <c r="G29" s="1" t="s">
        <v>153</v>
      </c>
      <c r="H29" s="1"/>
      <c r="I29" s="1"/>
      <c r="J29" s="1"/>
      <c r="K29" s="1"/>
      <c r="L29" s="1">
        <v>0.6</v>
      </c>
    </row>
    <row r="30" spans="1:12" ht="16" x14ac:dyDescent="0.2">
      <c r="A30" s="1"/>
      <c r="B30" s="1"/>
      <c r="C30" s="1"/>
      <c r="D30" s="1"/>
      <c r="E30" s="1"/>
      <c r="F30" s="1"/>
      <c r="G30" s="1" t="s">
        <v>154</v>
      </c>
      <c r="H30" s="1"/>
      <c r="I30" s="1"/>
      <c r="J30" s="1"/>
      <c r="K30" s="1"/>
      <c r="L30" s="1">
        <v>0.48</v>
      </c>
    </row>
    <row r="31" spans="1:12" ht="16" x14ac:dyDescent="0.2">
      <c r="A31" s="1"/>
      <c r="B31" s="1"/>
      <c r="C31" s="1"/>
      <c r="D31" s="1"/>
      <c r="E31" s="1"/>
      <c r="F31" s="1"/>
      <c r="G31" s="1" t="s">
        <v>155</v>
      </c>
      <c r="H31" s="1"/>
      <c r="I31" s="1"/>
      <c r="J31" s="1"/>
      <c r="K31" s="1"/>
      <c r="L31" s="1">
        <v>5</v>
      </c>
    </row>
    <row r="32" spans="1:12" ht="16" x14ac:dyDescent="0.2">
      <c r="A32" s="1"/>
      <c r="B32" s="1"/>
      <c r="C32" s="1"/>
      <c r="D32" s="1"/>
      <c r="E32" s="1"/>
      <c r="F32" s="1"/>
      <c r="G32" s="1" t="s">
        <v>156</v>
      </c>
      <c r="H32" s="1"/>
      <c r="I32" s="1"/>
      <c r="J32" s="1"/>
      <c r="K32" s="1"/>
      <c r="L32" s="1">
        <v>3.7</v>
      </c>
    </row>
    <row r="33" spans="1:12" ht="16" x14ac:dyDescent="0.2">
      <c r="A33" s="1"/>
      <c r="B33" s="1"/>
      <c r="C33" s="1"/>
      <c r="D33" s="1"/>
      <c r="E33" s="1"/>
      <c r="F33" s="1"/>
      <c r="G33" s="1" t="s">
        <v>8</v>
      </c>
      <c r="H33" s="1">
        <f>SUM(H3:H32)</f>
        <v>0.4</v>
      </c>
      <c r="I33" s="1">
        <f>SUM(I3:I32)</f>
        <v>11.84</v>
      </c>
      <c r="J33" s="1">
        <f>SUM(J3:J32)</f>
        <v>25.09</v>
      </c>
      <c r="K33" s="1">
        <f>SUM(K3:K32)</f>
        <v>29.98</v>
      </c>
      <c r="L33" s="1">
        <f>SUM(L3:L32)</f>
        <v>46.210000000000008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N135"/>
  <sheetViews>
    <sheetView topLeftCell="A23" zoomScale="94" workbookViewId="0">
      <selection activeCell="D61" sqref="D61"/>
    </sheetView>
  </sheetViews>
  <sheetFormatPr baseColWidth="10" defaultColWidth="8.83203125" defaultRowHeight="15" x14ac:dyDescent="0.2"/>
  <cols>
    <col min="1" max="1" width="13" customWidth="1"/>
    <col min="2" max="2" width="19.83203125" customWidth="1"/>
    <col min="3" max="3" width="21" customWidth="1"/>
    <col min="4" max="6" width="13" customWidth="1"/>
    <col min="7" max="7" width="75.6640625" customWidth="1"/>
    <col min="8" max="66" width="13" customWidth="1"/>
  </cols>
  <sheetData>
    <row r="1" spans="1:66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</row>
    <row r="2" spans="1:66" ht="16" x14ac:dyDescent="0.2">
      <c r="A2" s="1">
        <v>1972</v>
      </c>
      <c r="B2" s="1">
        <v>0.5</v>
      </c>
      <c r="C2" s="1">
        <v>0.5</v>
      </c>
      <c r="D2" s="1"/>
      <c r="E2" s="1"/>
      <c r="F2" s="1"/>
      <c r="G2" s="1" t="s">
        <v>4</v>
      </c>
      <c r="H2" s="1">
        <v>1972</v>
      </c>
      <c r="I2" s="1">
        <v>1973</v>
      </c>
      <c r="J2" s="1">
        <v>1974</v>
      </c>
      <c r="K2" s="1">
        <v>1975</v>
      </c>
      <c r="L2" s="1">
        <v>1976</v>
      </c>
      <c r="M2" s="1">
        <v>1977</v>
      </c>
      <c r="N2" s="1">
        <v>1978</v>
      </c>
      <c r="O2" s="1">
        <v>1979</v>
      </c>
      <c r="P2" s="1">
        <v>1980</v>
      </c>
      <c r="Q2" s="1">
        <v>1981</v>
      </c>
      <c r="R2" s="1">
        <v>1982</v>
      </c>
      <c r="S2" s="1">
        <v>1983</v>
      </c>
      <c r="T2" s="1">
        <v>1984</v>
      </c>
      <c r="U2" s="1">
        <v>1985</v>
      </c>
      <c r="V2" s="1">
        <v>1986</v>
      </c>
      <c r="W2" s="1">
        <v>1987</v>
      </c>
      <c r="X2" s="1">
        <v>1988</v>
      </c>
      <c r="Y2" s="1">
        <v>1989</v>
      </c>
      <c r="Z2" s="1">
        <v>1990</v>
      </c>
      <c r="AA2" s="1">
        <v>1991</v>
      </c>
      <c r="AB2" s="1">
        <v>1992</v>
      </c>
      <c r="AC2" s="1">
        <v>1993</v>
      </c>
      <c r="AD2" s="1">
        <v>1994</v>
      </c>
      <c r="AE2" s="1">
        <v>1995</v>
      </c>
      <c r="AF2" s="1">
        <v>1996</v>
      </c>
      <c r="AG2" s="1">
        <v>1997</v>
      </c>
      <c r="AH2" s="1">
        <v>1998</v>
      </c>
      <c r="AI2" s="1">
        <v>1999</v>
      </c>
      <c r="AJ2" s="1">
        <v>2000</v>
      </c>
      <c r="AK2" s="1">
        <v>2001</v>
      </c>
      <c r="AL2" s="1">
        <v>2002</v>
      </c>
      <c r="AM2" s="1">
        <v>2003</v>
      </c>
      <c r="AN2" s="1">
        <v>2004</v>
      </c>
      <c r="AO2" s="1">
        <v>2005</v>
      </c>
      <c r="AP2" s="1">
        <v>2006</v>
      </c>
      <c r="AQ2" s="1">
        <v>2007</v>
      </c>
      <c r="AR2" s="1">
        <v>2008</v>
      </c>
      <c r="AS2" s="1">
        <v>2009</v>
      </c>
      <c r="AT2" s="1">
        <v>2010</v>
      </c>
      <c r="AU2" s="1">
        <v>2011</v>
      </c>
      <c r="AV2" s="1">
        <v>2012</v>
      </c>
      <c r="AW2" s="1">
        <v>2013</v>
      </c>
      <c r="AX2" s="1">
        <v>2014</v>
      </c>
      <c r="AY2" s="1">
        <v>2015</v>
      </c>
      <c r="AZ2" s="1">
        <v>2016</v>
      </c>
      <c r="BA2" s="1">
        <v>2017</v>
      </c>
      <c r="BB2" s="1">
        <v>2018</v>
      </c>
      <c r="BC2" s="1">
        <v>2019</v>
      </c>
      <c r="BD2" s="1">
        <v>2020</v>
      </c>
      <c r="BE2" s="1">
        <v>2021</v>
      </c>
      <c r="BF2" s="1">
        <v>2022</v>
      </c>
      <c r="BG2" s="1">
        <v>2023</v>
      </c>
      <c r="BH2" s="1">
        <v>2024</v>
      </c>
      <c r="BI2" s="1">
        <v>2025</v>
      </c>
      <c r="BJ2" s="1">
        <v>2026</v>
      </c>
      <c r="BK2" s="1">
        <v>2027</v>
      </c>
      <c r="BL2" s="1">
        <v>2028</v>
      </c>
      <c r="BM2" s="1">
        <v>2029</v>
      </c>
      <c r="BN2" s="1">
        <v>2030</v>
      </c>
    </row>
    <row r="3" spans="1:66" ht="16" x14ac:dyDescent="0.2">
      <c r="A3" s="1">
        <v>1973</v>
      </c>
      <c r="B3" s="1">
        <v>0.5</v>
      </c>
      <c r="C3" s="1">
        <v>1</v>
      </c>
      <c r="D3" s="1"/>
      <c r="E3" s="1"/>
      <c r="F3" s="1"/>
      <c r="G3" s="1" t="s">
        <v>157</v>
      </c>
      <c r="H3" s="1">
        <v>0.5</v>
      </c>
      <c r="I3" s="1">
        <v>0.5</v>
      </c>
      <c r="J3" s="1">
        <v>0.5</v>
      </c>
      <c r="K3" s="1">
        <v>0.5</v>
      </c>
      <c r="L3" s="1">
        <v>0.5</v>
      </c>
      <c r="M3" s="1">
        <v>0.5</v>
      </c>
      <c r="N3" s="1">
        <v>0.5</v>
      </c>
      <c r="O3" s="1">
        <v>0.5</v>
      </c>
      <c r="P3" s="1">
        <v>0.5</v>
      </c>
      <c r="Q3" s="1">
        <v>0.5</v>
      </c>
      <c r="R3" s="1">
        <v>0.5</v>
      </c>
      <c r="S3" s="1">
        <v>0.5</v>
      </c>
      <c r="T3" s="1">
        <v>0.5</v>
      </c>
      <c r="U3" s="1">
        <v>0.5</v>
      </c>
      <c r="V3" s="1">
        <v>0.5</v>
      </c>
      <c r="W3" s="1">
        <v>0.5</v>
      </c>
      <c r="X3" s="1">
        <v>0.5</v>
      </c>
      <c r="Y3" s="1">
        <v>0.5</v>
      </c>
      <c r="Z3" s="1">
        <v>0.5</v>
      </c>
      <c r="AA3" s="1">
        <v>0.5</v>
      </c>
      <c r="AB3" s="1">
        <v>0.5</v>
      </c>
      <c r="AC3" s="1">
        <v>0.5</v>
      </c>
      <c r="AD3" s="1">
        <v>0.5</v>
      </c>
      <c r="AE3" s="1">
        <v>0.5</v>
      </c>
      <c r="AF3" s="1">
        <v>0.5</v>
      </c>
      <c r="AG3" s="1">
        <v>0.5</v>
      </c>
      <c r="AH3" s="1">
        <v>0.5</v>
      </c>
      <c r="AI3" s="1">
        <v>0.5</v>
      </c>
      <c r="AJ3" s="1">
        <v>0.5</v>
      </c>
      <c r="AK3" s="1">
        <v>0.5</v>
      </c>
      <c r="AL3" s="1">
        <v>0.5</v>
      </c>
      <c r="AM3" s="1">
        <v>0.5</v>
      </c>
      <c r="AN3" s="1">
        <v>0.5</v>
      </c>
      <c r="AO3" s="1">
        <v>0.5</v>
      </c>
      <c r="AP3" s="1">
        <v>0.5</v>
      </c>
      <c r="AQ3" s="1">
        <v>0.5</v>
      </c>
      <c r="AR3" s="1">
        <v>0.5</v>
      </c>
      <c r="AS3" s="1">
        <v>0.5</v>
      </c>
      <c r="AT3" s="1">
        <v>0.5</v>
      </c>
      <c r="AU3" s="1">
        <v>0.5</v>
      </c>
      <c r="AV3" s="1">
        <v>0.5</v>
      </c>
      <c r="AW3" s="1">
        <v>0.5</v>
      </c>
      <c r="AX3" s="1">
        <v>0.5</v>
      </c>
      <c r="AY3" s="1">
        <v>0.5</v>
      </c>
      <c r="AZ3" s="1">
        <v>0.5</v>
      </c>
      <c r="BA3" s="1">
        <v>0.5</v>
      </c>
      <c r="BB3" s="1">
        <v>0.5</v>
      </c>
      <c r="BC3" s="1">
        <v>0.5</v>
      </c>
      <c r="BD3" s="1">
        <v>0.5</v>
      </c>
      <c r="BE3" s="1">
        <v>0.5</v>
      </c>
      <c r="BF3" s="1">
        <v>0.5</v>
      </c>
      <c r="BG3" s="1">
        <v>0.5</v>
      </c>
      <c r="BH3" s="1">
        <v>0.5</v>
      </c>
      <c r="BI3" s="1">
        <v>0.5</v>
      </c>
      <c r="BJ3" s="1">
        <v>0.5</v>
      </c>
      <c r="BK3" s="1">
        <v>0.5</v>
      </c>
      <c r="BL3" s="1">
        <v>0.5</v>
      </c>
      <c r="BM3" s="1">
        <v>0.5</v>
      </c>
      <c r="BN3" s="1">
        <v>0.5</v>
      </c>
    </row>
    <row r="4" spans="1:66" ht="16" x14ac:dyDescent="0.2">
      <c r="A4" s="1">
        <v>1974</v>
      </c>
      <c r="B4" s="1">
        <v>0.5</v>
      </c>
      <c r="C4" s="1">
        <v>1.5</v>
      </c>
      <c r="D4" s="1"/>
      <c r="E4" s="1"/>
      <c r="F4" s="1"/>
      <c r="G4" s="1" t="s">
        <v>158</v>
      </c>
      <c r="H4" s="1"/>
      <c r="I4" s="1"/>
      <c r="J4" s="1"/>
      <c r="K4" s="1"/>
      <c r="L4" s="1"/>
      <c r="M4" s="1"/>
      <c r="N4" s="1"/>
      <c r="O4" s="1"/>
      <c r="P4" s="1"/>
      <c r="Q4" s="1"/>
      <c r="R4" s="1">
        <v>0.68</v>
      </c>
      <c r="S4" s="1">
        <v>0.68</v>
      </c>
      <c r="T4" s="1">
        <v>0.68</v>
      </c>
      <c r="U4" s="1">
        <v>0.68</v>
      </c>
      <c r="V4" s="1">
        <v>0.68</v>
      </c>
      <c r="W4" s="1">
        <v>0.68</v>
      </c>
      <c r="X4" s="1">
        <v>0.68</v>
      </c>
      <c r="Y4" s="1">
        <v>0.68</v>
      </c>
      <c r="Z4" s="1">
        <v>0.68</v>
      </c>
      <c r="AA4" s="1">
        <v>0.68</v>
      </c>
      <c r="AB4" s="1">
        <v>0.68</v>
      </c>
      <c r="AC4" s="1">
        <v>0.68</v>
      </c>
      <c r="AD4" s="1">
        <v>0.68</v>
      </c>
      <c r="AE4" s="1">
        <v>0.68</v>
      </c>
      <c r="AF4" s="1">
        <v>0.68</v>
      </c>
      <c r="AG4" s="1">
        <v>0.68</v>
      </c>
      <c r="AH4" s="1">
        <v>0.68</v>
      </c>
      <c r="AI4" s="1">
        <v>0.68</v>
      </c>
      <c r="AJ4" s="1">
        <v>0.68</v>
      </c>
      <c r="AK4" s="1">
        <v>0.68</v>
      </c>
      <c r="AL4" s="1">
        <v>0.68</v>
      </c>
      <c r="AM4" s="1">
        <v>0.68</v>
      </c>
      <c r="AN4" s="1">
        <v>0.68</v>
      </c>
      <c r="AO4" s="1">
        <v>0.68</v>
      </c>
      <c r="AP4" s="1">
        <v>0.68</v>
      </c>
      <c r="AQ4" s="1">
        <v>0.68</v>
      </c>
      <c r="AR4" s="1">
        <v>0.68</v>
      </c>
      <c r="AS4" s="1">
        <v>0.68</v>
      </c>
      <c r="AT4" s="1">
        <v>0.68</v>
      </c>
      <c r="AU4" s="1">
        <v>0.68</v>
      </c>
      <c r="AV4" s="1">
        <v>0.68</v>
      </c>
      <c r="AW4" s="1">
        <v>0.68</v>
      </c>
      <c r="AX4" s="1">
        <v>0.68</v>
      </c>
      <c r="AY4" s="1">
        <v>0.68</v>
      </c>
      <c r="AZ4" s="1">
        <v>0.68</v>
      </c>
      <c r="BA4" s="1">
        <v>0.68</v>
      </c>
      <c r="BB4" s="1">
        <v>0.68</v>
      </c>
      <c r="BC4" s="1">
        <v>0.68</v>
      </c>
      <c r="BD4" s="1">
        <v>0.68</v>
      </c>
      <c r="BE4" s="1">
        <v>0.68</v>
      </c>
      <c r="BF4" s="1">
        <v>0.68</v>
      </c>
      <c r="BG4" s="1">
        <v>0.68</v>
      </c>
      <c r="BH4" s="1">
        <v>0.68</v>
      </c>
      <c r="BI4" s="1">
        <v>0.68</v>
      </c>
      <c r="BJ4" s="1">
        <v>0.68</v>
      </c>
      <c r="BK4" s="1">
        <v>0.68</v>
      </c>
      <c r="BL4" s="1">
        <v>0.68</v>
      </c>
      <c r="BM4" s="1">
        <v>0.68</v>
      </c>
      <c r="BN4" s="1">
        <v>0.68</v>
      </c>
    </row>
    <row r="5" spans="1:66" ht="16" x14ac:dyDescent="0.2">
      <c r="A5" s="1">
        <v>1975</v>
      </c>
      <c r="B5" s="1">
        <v>0.5</v>
      </c>
      <c r="C5" s="1">
        <v>2</v>
      </c>
      <c r="D5" s="1"/>
      <c r="E5" s="1"/>
      <c r="F5" s="1"/>
      <c r="G5" s="1" t="s">
        <v>159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>
        <v>7</v>
      </c>
      <c r="W5" s="1">
        <v>7</v>
      </c>
      <c r="X5" s="1">
        <v>7</v>
      </c>
      <c r="Y5" s="1">
        <v>7</v>
      </c>
      <c r="Z5" s="1">
        <v>7</v>
      </c>
      <c r="AA5" s="1">
        <v>7</v>
      </c>
      <c r="AB5" s="1">
        <v>7</v>
      </c>
      <c r="AC5" s="1">
        <v>7</v>
      </c>
      <c r="AD5" s="1">
        <v>7</v>
      </c>
      <c r="AE5" s="1">
        <v>7</v>
      </c>
      <c r="AF5" s="1">
        <v>7</v>
      </c>
      <c r="AG5" s="1">
        <v>7</v>
      </c>
      <c r="AH5" s="1">
        <v>7</v>
      </c>
      <c r="AI5" s="1">
        <v>7</v>
      </c>
      <c r="AJ5" s="1">
        <v>7</v>
      </c>
      <c r="AK5" s="1">
        <v>7</v>
      </c>
      <c r="AL5" s="1">
        <v>7</v>
      </c>
      <c r="AM5" s="1">
        <v>7</v>
      </c>
      <c r="AN5" s="1">
        <v>7</v>
      </c>
      <c r="AO5" s="1">
        <v>7</v>
      </c>
      <c r="AP5" s="1">
        <v>7</v>
      </c>
      <c r="AQ5" s="1">
        <v>7</v>
      </c>
      <c r="AR5" s="1">
        <v>7</v>
      </c>
      <c r="AS5" s="1">
        <v>7</v>
      </c>
      <c r="AT5" s="1">
        <v>7</v>
      </c>
      <c r="AU5" s="1">
        <v>7</v>
      </c>
      <c r="AV5" s="1">
        <v>7</v>
      </c>
      <c r="AW5" s="1">
        <v>7</v>
      </c>
      <c r="AX5" s="1">
        <v>7</v>
      </c>
      <c r="AY5" s="1">
        <v>7</v>
      </c>
      <c r="AZ5" s="1">
        <v>7</v>
      </c>
      <c r="BA5" s="1">
        <v>7</v>
      </c>
      <c r="BB5" s="1">
        <v>7</v>
      </c>
      <c r="BC5" s="1">
        <v>7</v>
      </c>
      <c r="BD5" s="1">
        <v>7</v>
      </c>
      <c r="BE5" s="1">
        <v>7</v>
      </c>
      <c r="BF5" s="1">
        <v>7</v>
      </c>
      <c r="BG5" s="1">
        <v>7</v>
      </c>
      <c r="BH5" s="1">
        <v>7</v>
      </c>
      <c r="BI5" s="1">
        <v>7</v>
      </c>
      <c r="BJ5" s="1">
        <v>7</v>
      </c>
      <c r="BK5" s="1">
        <v>7</v>
      </c>
      <c r="BL5" s="1">
        <v>7</v>
      </c>
      <c r="BM5" s="1">
        <v>7</v>
      </c>
      <c r="BN5" s="1">
        <v>7</v>
      </c>
    </row>
    <row r="6" spans="1:66" ht="16" x14ac:dyDescent="0.2">
      <c r="A6" s="1">
        <v>1976</v>
      </c>
      <c r="B6" s="1">
        <v>0.5</v>
      </c>
      <c r="C6" s="1">
        <v>2.5</v>
      </c>
      <c r="D6" s="1"/>
      <c r="E6" s="1"/>
      <c r="F6" s="1"/>
      <c r="G6" s="1" t="s">
        <v>160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>
        <v>3</v>
      </c>
      <c r="AK6" s="1">
        <v>3</v>
      </c>
      <c r="AL6" s="1">
        <v>3</v>
      </c>
      <c r="AM6" s="1">
        <v>3</v>
      </c>
      <c r="AN6" s="1">
        <v>3</v>
      </c>
      <c r="AO6" s="1">
        <v>3</v>
      </c>
      <c r="AP6" s="1">
        <v>3</v>
      </c>
      <c r="AQ6" s="1">
        <v>3</v>
      </c>
      <c r="AR6" s="1">
        <v>3</v>
      </c>
      <c r="AS6" s="1">
        <v>3</v>
      </c>
      <c r="AT6" s="1">
        <v>3</v>
      </c>
      <c r="AU6" s="1">
        <v>3</v>
      </c>
      <c r="AV6" s="1">
        <v>3</v>
      </c>
      <c r="AW6" s="1">
        <v>3</v>
      </c>
      <c r="AX6" s="1">
        <v>3</v>
      </c>
      <c r="AY6" s="1">
        <v>3</v>
      </c>
      <c r="AZ6" s="1">
        <v>3</v>
      </c>
      <c r="BA6" s="1">
        <v>3</v>
      </c>
      <c r="BB6" s="1">
        <v>3</v>
      </c>
      <c r="BC6" s="1">
        <v>3</v>
      </c>
      <c r="BD6" s="1">
        <v>3</v>
      </c>
      <c r="BE6" s="1">
        <v>3</v>
      </c>
      <c r="BF6" s="1">
        <v>3</v>
      </c>
      <c r="BG6" s="1">
        <v>3</v>
      </c>
      <c r="BH6" s="1">
        <v>3</v>
      </c>
      <c r="BI6" s="1">
        <v>3</v>
      </c>
      <c r="BJ6" s="1">
        <v>3</v>
      </c>
      <c r="BK6" s="1">
        <v>3</v>
      </c>
      <c r="BL6" s="1">
        <v>3</v>
      </c>
      <c r="BM6" s="1">
        <v>3</v>
      </c>
      <c r="BN6" s="1">
        <v>3</v>
      </c>
    </row>
    <row r="7" spans="1:66" ht="16" x14ac:dyDescent="0.2">
      <c r="A7" s="1">
        <v>1977</v>
      </c>
      <c r="B7" s="1">
        <v>0.5</v>
      </c>
      <c r="C7" s="1">
        <v>3</v>
      </c>
      <c r="D7" s="1"/>
      <c r="E7" s="1"/>
      <c r="F7" s="1"/>
      <c r="G7" s="1" t="s">
        <v>161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>
        <v>0.35</v>
      </c>
      <c r="AN7" s="1">
        <v>0.35</v>
      </c>
      <c r="AO7" s="1">
        <v>0.35</v>
      </c>
      <c r="AP7" s="1">
        <v>0.35</v>
      </c>
      <c r="AQ7" s="1">
        <v>0.35</v>
      </c>
      <c r="AR7" s="1">
        <v>0.35</v>
      </c>
      <c r="AS7" s="1">
        <v>0.35</v>
      </c>
      <c r="AT7" s="1">
        <v>0.35</v>
      </c>
      <c r="AU7" s="1">
        <v>0.35</v>
      </c>
      <c r="AV7" s="1">
        <v>0.35</v>
      </c>
      <c r="AW7" s="1">
        <v>0.35</v>
      </c>
      <c r="AX7" s="1">
        <v>0.35</v>
      </c>
      <c r="AY7" s="1">
        <v>0.35</v>
      </c>
      <c r="AZ7" s="1">
        <v>0.35</v>
      </c>
      <c r="BA7" s="1">
        <v>0.35</v>
      </c>
      <c r="BB7" s="1">
        <v>0.35</v>
      </c>
      <c r="BC7" s="1">
        <v>0.35</v>
      </c>
      <c r="BD7" s="1">
        <v>0.35</v>
      </c>
      <c r="BE7" s="1">
        <v>0.35</v>
      </c>
      <c r="BF7" s="1">
        <v>0.35</v>
      </c>
      <c r="BG7" s="1">
        <v>0.35</v>
      </c>
      <c r="BH7" s="1">
        <v>0.35</v>
      </c>
      <c r="BI7" s="1">
        <v>0.35</v>
      </c>
      <c r="BJ7" s="1">
        <v>0.35</v>
      </c>
      <c r="BK7" s="1">
        <v>0.35</v>
      </c>
      <c r="BL7" s="1">
        <v>0.35</v>
      </c>
      <c r="BM7" s="1">
        <v>0.35</v>
      </c>
      <c r="BN7" s="1">
        <v>0.35</v>
      </c>
    </row>
    <row r="8" spans="1:66" ht="16" x14ac:dyDescent="0.2">
      <c r="A8" s="1">
        <v>1978</v>
      </c>
      <c r="B8" s="1">
        <v>0.5</v>
      </c>
      <c r="C8" s="1">
        <v>3.5</v>
      </c>
      <c r="D8" s="1"/>
      <c r="E8" s="1"/>
      <c r="F8" s="1"/>
      <c r="G8" s="1" t="s">
        <v>162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>
        <v>0.5</v>
      </c>
      <c r="AT8" s="1">
        <v>0.5</v>
      </c>
      <c r="AU8" s="1">
        <v>0.5</v>
      </c>
      <c r="AV8" s="1">
        <v>0.5</v>
      </c>
      <c r="AW8" s="1">
        <v>0.5</v>
      </c>
      <c r="AX8" s="1">
        <v>0.5</v>
      </c>
      <c r="AY8" s="1">
        <v>0.5</v>
      </c>
      <c r="AZ8" s="1">
        <v>0.5</v>
      </c>
      <c r="BA8" s="1">
        <v>0.5</v>
      </c>
      <c r="BB8" s="1">
        <v>0.5</v>
      </c>
      <c r="BC8" s="1">
        <v>0.5</v>
      </c>
      <c r="BD8" s="1">
        <v>0.5</v>
      </c>
      <c r="BE8" s="1">
        <v>0.5</v>
      </c>
      <c r="BF8" s="1">
        <v>0.5</v>
      </c>
      <c r="BG8" s="1">
        <v>0.5</v>
      </c>
      <c r="BH8" s="1">
        <v>0.5</v>
      </c>
      <c r="BI8" s="1">
        <v>0.5</v>
      </c>
      <c r="BJ8" s="1">
        <v>0.5</v>
      </c>
      <c r="BK8" s="1">
        <v>0.5</v>
      </c>
      <c r="BL8" s="1">
        <v>0.5</v>
      </c>
      <c r="BM8" s="1">
        <v>0.5</v>
      </c>
      <c r="BN8" s="1">
        <v>0.5</v>
      </c>
    </row>
    <row r="9" spans="1:66" ht="16" x14ac:dyDescent="0.2">
      <c r="A9" s="1">
        <v>1979</v>
      </c>
      <c r="B9" s="1">
        <v>0.5</v>
      </c>
      <c r="C9" s="1">
        <v>4</v>
      </c>
      <c r="D9" s="1"/>
      <c r="E9" s="1"/>
      <c r="F9" s="1"/>
      <c r="G9" s="1" t="s">
        <v>163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>
        <v>5</v>
      </c>
      <c r="AU9" s="1">
        <v>5</v>
      </c>
      <c r="AV9" s="1">
        <v>5</v>
      </c>
      <c r="AW9" s="1">
        <v>5</v>
      </c>
      <c r="AX9" s="1">
        <v>5</v>
      </c>
      <c r="AY9" s="1">
        <v>5</v>
      </c>
      <c r="AZ9" s="1">
        <v>5</v>
      </c>
      <c r="BA9" s="1">
        <v>5</v>
      </c>
      <c r="BB9" s="1">
        <v>5</v>
      </c>
      <c r="BC9" s="1">
        <v>5</v>
      </c>
      <c r="BD9" s="1">
        <v>5</v>
      </c>
      <c r="BE9" s="1">
        <v>5</v>
      </c>
      <c r="BF9" s="1">
        <v>5</v>
      </c>
      <c r="BG9" s="1">
        <v>5</v>
      </c>
      <c r="BH9" s="1">
        <v>5</v>
      </c>
      <c r="BI9" s="1">
        <v>5</v>
      </c>
      <c r="BJ9" s="1">
        <v>5</v>
      </c>
      <c r="BK9" s="1">
        <v>5</v>
      </c>
      <c r="BL9" s="1">
        <v>5</v>
      </c>
      <c r="BM9" s="1">
        <v>5</v>
      </c>
      <c r="BN9" s="1">
        <v>5</v>
      </c>
    </row>
    <row r="10" spans="1:66" ht="16" x14ac:dyDescent="0.2">
      <c r="A10" s="1">
        <v>1980</v>
      </c>
      <c r="B10" s="1">
        <v>0.5</v>
      </c>
      <c r="C10" s="1">
        <v>4.5</v>
      </c>
      <c r="D10" s="1"/>
      <c r="E10" s="1"/>
      <c r="F10" s="1"/>
      <c r="G10" s="1" t="s">
        <v>164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>
        <v>0.1</v>
      </c>
      <c r="AW10" s="1">
        <v>0.1</v>
      </c>
      <c r="AX10" s="1">
        <v>0.1</v>
      </c>
      <c r="AY10" s="1">
        <v>0.1</v>
      </c>
      <c r="AZ10" s="1">
        <v>0.1</v>
      </c>
      <c r="BA10" s="1">
        <v>0.1</v>
      </c>
      <c r="BB10" s="1">
        <v>0.1</v>
      </c>
      <c r="BC10" s="1">
        <v>0.1</v>
      </c>
      <c r="BD10" s="1">
        <v>0.1</v>
      </c>
      <c r="BE10" s="1">
        <v>0.1</v>
      </c>
      <c r="BF10" s="1">
        <v>0.1</v>
      </c>
      <c r="BG10" s="1">
        <v>0.1</v>
      </c>
      <c r="BH10" s="1">
        <v>0.1</v>
      </c>
      <c r="BI10" s="1">
        <v>0.1</v>
      </c>
      <c r="BJ10" s="1">
        <v>0.1</v>
      </c>
      <c r="BK10" s="1">
        <v>0.1</v>
      </c>
      <c r="BL10" s="1">
        <v>0.1</v>
      </c>
      <c r="BM10" s="1">
        <v>0.1</v>
      </c>
      <c r="BN10" s="1">
        <v>0.1</v>
      </c>
    </row>
    <row r="11" spans="1:66" ht="16" x14ac:dyDescent="0.2">
      <c r="A11" s="1">
        <v>1981</v>
      </c>
      <c r="B11" s="1">
        <v>0.5</v>
      </c>
      <c r="C11" s="1">
        <v>5</v>
      </c>
      <c r="D11" s="1"/>
      <c r="E11" s="1"/>
      <c r="F11" s="1"/>
      <c r="G11" s="1" t="s">
        <v>165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>
        <v>1</v>
      </c>
      <c r="AX11" s="1">
        <v>1</v>
      </c>
      <c r="AY11" s="1">
        <v>1</v>
      </c>
      <c r="AZ11" s="1">
        <v>1</v>
      </c>
      <c r="BA11" s="1">
        <v>1</v>
      </c>
      <c r="BB11" s="1">
        <v>1</v>
      </c>
      <c r="BC11" s="1">
        <v>1</v>
      </c>
      <c r="BD11" s="1">
        <v>1</v>
      </c>
      <c r="BE11" s="1">
        <v>1</v>
      </c>
      <c r="BF11" s="1">
        <v>1</v>
      </c>
      <c r="BG11" s="1">
        <v>1</v>
      </c>
      <c r="BH11" s="1">
        <v>1</v>
      </c>
      <c r="BI11" s="1">
        <v>1</v>
      </c>
      <c r="BJ11" s="1">
        <v>1</v>
      </c>
      <c r="BK11" s="1">
        <v>1</v>
      </c>
      <c r="BL11" s="1">
        <v>1</v>
      </c>
      <c r="BM11" s="1">
        <v>1</v>
      </c>
      <c r="BN11" s="1">
        <v>1</v>
      </c>
    </row>
    <row r="12" spans="1:66" ht="16" x14ac:dyDescent="0.2">
      <c r="A12" s="1">
        <v>1982</v>
      </c>
      <c r="B12" s="1">
        <v>1.18</v>
      </c>
      <c r="C12" s="1">
        <v>6.18</v>
      </c>
      <c r="D12" s="1"/>
      <c r="E12" s="1"/>
      <c r="F12" s="1"/>
      <c r="G12" s="1" t="s">
        <v>166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>
        <v>0.85</v>
      </c>
      <c r="AX12" s="1">
        <v>0.85</v>
      </c>
      <c r="AY12" s="1">
        <v>0.85</v>
      </c>
      <c r="AZ12" s="1">
        <v>0.85</v>
      </c>
      <c r="BA12" s="1">
        <v>0.85</v>
      </c>
      <c r="BB12" s="1">
        <v>0.85</v>
      </c>
      <c r="BC12" s="1">
        <v>0.85</v>
      </c>
      <c r="BD12" s="1">
        <v>0.85</v>
      </c>
      <c r="BE12" s="1">
        <v>0.85</v>
      </c>
      <c r="BF12" s="1">
        <v>0.85</v>
      </c>
      <c r="BG12" s="1">
        <v>0.85</v>
      </c>
      <c r="BH12" s="1">
        <v>0.85</v>
      </c>
      <c r="BI12" s="1">
        <v>0.85</v>
      </c>
      <c r="BJ12" s="1">
        <v>0.85</v>
      </c>
      <c r="BK12" s="1">
        <v>0.85</v>
      </c>
      <c r="BL12" s="1">
        <v>0.85</v>
      </c>
      <c r="BM12" s="1">
        <v>0.85</v>
      </c>
      <c r="BN12" s="1">
        <v>0.85</v>
      </c>
    </row>
    <row r="13" spans="1:66" ht="16" x14ac:dyDescent="0.2">
      <c r="A13" s="1">
        <v>1983</v>
      </c>
      <c r="B13" s="1">
        <v>1.18</v>
      </c>
      <c r="C13" s="1">
        <v>7.36</v>
      </c>
      <c r="D13" s="1"/>
      <c r="E13" s="1"/>
      <c r="F13" s="1"/>
      <c r="G13" s="1" t="s">
        <v>167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>
        <v>0.9</v>
      </c>
      <c r="AX13" s="1">
        <v>0.9</v>
      </c>
      <c r="AY13" s="1">
        <v>0.9</v>
      </c>
      <c r="AZ13" s="1">
        <v>0.9</v>
      </c>
      <c r="BA13" s="1">
        <v>0.9</v>
      </c>
      <c r="BB13" s="1">
        <v>0.9</v>
      </c>
      <c r="BC13" s="1">
        <v>0.9</v>
      </c>
      <c r="BD13" s="1">
        <v>0.9</v>
      </c>
      <c r="BE13" s="1">
        <v>0.9</v>
      </c>
      <c r="BF13" s="1">
        <v>0.9</v>
      </c>
      <c r="BG13" s="1">
        <v>0.9</v>
      </c>
      <c r="BH13" s="1">
        <v>0.9</v>
      </c>
      <c r="BI13" s="1">
        <v>0.9</v>
      </c>
      <c r="BJ13" s="1">
        <v>0.9</v>
      </c>
      <c r="BK13" s="1">
        <v>0.9</v>
      </c>
      <c r="BL13" s="1">
        <v>0.9</v>
      </c>
      <c r="BM13" s="1">
        <v>0.9</v>
      </c>
      <c r="BN13" s="1">
        <v>0.9</v>
      </c>
    </row>
    <row r="14" spans="1:66" ht="16" x14ac:dyDescent="0.2">
      <c r="A14" s="1">
        <v>1984</v>
      </c>
      <c r="B14" s="1">
        <v>1.18</v>
      </c>
      <c r="C14" s="1">
        <v>8.5400000000000009</v>
      </c>
      <c r="D14" s="1"/>
      <c r="E14" s="1"/>
      <c r="F14" s="1"/>
      <c r="G14" s="1" t="s">
        <v>168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>
        <v>0.3</v>
      </c>
      <c r="AX14" s="1">
        <v>0.3</v>
      </c>
      <c r="AY14" s="1">
        <v>0.3</v>
      </c>
      <c r="AZ14" s="1">
        <v>0.3</v>
      </c>
      <c r="BA14" s="1">
        <v>0.3</v>
      </c>
      <c r="BB14" s="1">
        <v>0.3</v>
      </c>
      <c r="BC14" s="1">
        <v>0.3</v>
      </c>
      <c r="BD14" s="1">
        <v>0.3</v>
      </c>
      <c r="BE14" s="1">
        <v>0.3</v>
      </c>
      <c r="BF14" s="1">
        <v>0.3</v>
      </c>
      <c r="BG14" s="1">
        <v>0.3</v>
      </c>
      <c r="BH14" s="1">
        <v>0.3</v>
      </c>
      <c r="BI14" s="1">
        <v>0.3</v>
      </c>
      <c r="BJ14" s="1">
        <v>0.3</v>
      </c>
      <c r="BK14" s="1">
        <v>0.3</v>
      </c>
      <c r="BL14" s="1">
        <v>0.3</v>
      </c>
      <c r="BM14" s="1">
        <v>0.3</v>
      </c>
      <c r="BN14" s="1">
        <v>0.3</v>
      </c>
    </row>
    <row r="15" spans="1:66" ht="16" x14ac:dyDescent="0.2">
      <c r="A15" s="1">
        <v>1985</v>
      </c>
      <c r="B15" s="1">
        <v>1.18</v>
      </c>
      <c r="C15" s="1">
        <v>9.7200000000000006</v>
      </c>
      <c r="D15" s="1"/>
      <c r="E15" s="1"/>
      <c r="F15" s="1"/>
      <c r="G15" s="1" t="s">
        <v>169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>
        <v>1</v>
      </c>
      <c r="BB15" s="1">
        <v>1</v>
      </c>
      <c r="BC15" s="1">
        <v>1</v>
      </c>
      <c r="BD15" s="1">
        <v>1</v>
      </c>
      <c r="BE15" s="1">
        <v>1</v>
      </c>
      <c r="BF15" s="1">
        <v>1</v>
      </c>
      <c r="BG15" s="1">
        <v>1</v>
      </c>
      <c r="BH15" s="1">
        <v>1</v>
      </c>
      <c r="BI15" s="1">
        <v>1</v>
      </c>
      <c r="BJ15" s="1">
        <v>1</v>
      </c>
      <c r="BK15" s="1">
        <v>1</v>
      </c>
      <c r="BL15" s="1">
        <v>1</v>
      </c>
      <c r="BM15" s="1">
        <v>1</v>
      </c>
      <c r="BN15" s="1">
        <v>1</v>
      </c>
    </row>
    <row r="16" spans="1:66" ht="16" x14ac:dyDescent="0.2">
      <c r="A16" s="1">
        <v>1986</v>
      </c>
      <c r="B16" s="1">
        <v>8.18</v>
      </c>
      <c r="C16" s="1">
        <v>17.899999999999999</v>
      </c>
      <c r="D16" s="1"/>
      <c r="E16" s="1"/>
      <c r="F16" s="1"/>
      <c r="G16" s="1" t="s">
        <v>170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>
        <v>1.4</v>
      </c>
      <c r="BB16" s="1">
        <v>1.4</v>
      </c>
      <c r="BC16" s="1">
        <v>1.4</v>
      </c>
      <c r="BD16" s="1">
        <v>1.4</v>
      </c>
      <c r="BE16" s="1">
        <v>1.4</v>
      </c>
      <c r="BF16" s="1">
        <v>1.4</v>
      </c>
      <c r="BG16" s="1">
        <v>1.4</v>
      </c>
      <c r="BH16" s="1">
        <v>1.4</v>
      </c>
      <c r="BI16" s="1">
        <v>1.4</v>
      </c>
      <c r="BJ16" s="1">
        <v>1.4</v>
      </c>
      <c r="BK16" s="1">
        <v>1.4</v>
      </c>
      <c r="BL16" s="1">
        <v>1.4</v>
      </c>
      <c r="BM16" s="1">
        <v>1.4</v>
      </c>
      <c r="BN16" s="1">
        <v>1.4</v>
      </c>
    </row>
    <row r="17" spans="1:66" ht="16" x14ac:dyDescent="0.2">
      <c r="A17" s="1">
        <v>1987</v>
      </c>
      <c r="B17" s="1">
        <v>8.18</v>
      </c>
      <c r="C17" s="1">
        <v>26.08</v>
      </c>
      <c r="D17" s="1"/>
      <c r="E17" s="1"/>
      <c r="F17" s="1"/>
      <c r="G17" s="1" t="s">
        <v>171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>
        <v>0.01</v>
      </c>
      <c r="BD17" s="1">
        <v>0.01</v>
      </c>
      <c r="BE17" s="1">
        <v>0.01</v>
      </c>
      <c r="BF17" s="1">
        <v>0.01</v>
      </c>
      <c r="BG17" s="1">
        <v>0.01</v>
      </c>
      <c r="BH17" s="1">
        <v>0.01</v>
      </c>
      <c r="BI17" s="1">
        <v>0.01</v>
      </c>
      <c r="BJ17" s="1">
        <v>0.01</v>
      </c>
      <c r="BK17" s="1">
        <v>0.01</v>
      </c>
      <c r="BL17" s="1">
        <v>0.01</v>
      </c>
      <c r="BM17" s="1">
        <v>0.01</v>
      </c>
      <c r="BN17" s="1">
        <v>0.01</v>
      </c>
    </row>
    <row r="18" spans="1:66" ht="16" x14ac:dyDescent="0.2">
      <c r="A18" s="1">
        <v>1988</v>
      </c>
      <c r="B18" s="1">
        <v>8.18</v>
      </c>
      <c r="C18" s="1">
        <v>34.26</v>
      </c>
      <c r="D18" s="1"/>
      <c r="E18" s="1"/>
      <c r="F18" s="1"/>
      <c r="G18" s="1" t="s">
        <v>172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>
        <v>0.18</v>
      </c>
      <c r="BG18" s="1">
        <v>0.18</v>
      </c>
      <c r="BH18" s="1">
        <v>0.18</v>
      </c>
      <c r="BI18" s="1">
        <v>0.18</v>
      </c>
      <c r="BJ18" s="1">
        <v>0.18</v>
      </c>
      <c r="BK18" s="1">
        <v>0.18</v>
      </c>
      <c r="BL18" s="1">
        <v>0.18</v>
      </c>
      <c r="BM18" s="1">
        <v>0.18</v>
      </c>
      <c r="BN18" s="1">
        <v>0.18</v>
      </c>
    </row>
    <row r="19" spans="1:66" ht="16" x14ac:dyDescent="0.2">
      <c r="A19" s="1">
        <v>1989</v>
      </c>
      <c r="B19" s="1">
        <v>8.18</v>
      </c>
      <c r="C19" s="1">
        <v>42.44</v>
      </c>
      <c r="D19" s="1"/>
      <c r="E19" s="1"/>
      <c r="F19" s="1"/>
      <c r="G19" s="1" t="s">
        <v>173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>
        <v>0.5</v>
      </c>
      <c r="BG19" s="1">
        <v>0.5</v>
      </c>
      <c r="BH19" s="1">
        <v>0.5</v>
      </c>
      <c r="BI19" s="1">
        <v>0.5</v>
      </c>
      <c r="BJ19" s="1">
        <v>0.5</v>
      </c>
      <c r="BK19" s="1">
        <v>0.5</v>
      </c>
      <c r="BL19" s="1">
        <v>0.5</v>
      </c>
      <c r="BM19" s="1">
        <v>0.5</v>
      </c>
      <c r="BN19" s="1">
        <v>0.5</v>
      </c>
    </row>
    <row r="20" spans="1:66" ht="16" x14ac:dyDescent="0.2">
      <c r="A20" s="1">
        <v>1990</v>
      </c>
      <c r="B20" s="1">
        <v>8.18</v>
      </c>
      <c r="C20" s="1">
        <v>50.62</v>
      </c>
      <c r="D20" s="1"/>
      <c r="E20" s="1"/>
      <c r="F20" s="1"/>
      <c r="G20" s="1" t="s">
        <v>174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>
        <v>0.21</v>
      </c>
      <c r="BH20" s="1">
        <v>0.21</v>
      </c>
      <c r="BI20" s="1">
        <v>0.21</v>
      </c>
      <c r="BJ20" s="1">
        <v>0.21</v>
      </c>
      <c r="BK20" s="1">
        <v>0.21</v>
      </c>
      <c r="BL20" s="1">
        <v>0.21</v>
      </c>
      <c r="BM20" s="1">
        <v>0.21</v>
      </c>
      <c r="BN20" s="1">
        <v>0.21</v>
      </c>
    </row>
    <row r="21" spans="1:66" ht="16" x14ac:dyDescent="0.2">
      <c r="A21" s="1">
        <v>1991</v>
      </c>
      <c r="B21" s="1">
        <v>8.18</v>
      </c>
      <c r="C21" s="1">
        <v>58.8</v>
      </c>
      <c r="D21" s="1"/>
      <c r="E21" s="1"/>
      <c r="F21" s="1"/>
      <c r="G21" s="1" t="s">
        <v>175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>
        <v>0.2</v>
      </c>
      <c r="BH21" s="1">
        <v>0.2</v>
      </c>
      <c r="BI21" s="1">
        <v>0.2</v>
      </c>
      <c r="BJ21" s="1">
        <v>0.2</v>
      </c>
      <c r="BK21" s="1">
        <v>0.2</v>
      </c>
      <c r="BL21" s="1">
        <v>0.2</v>
      </c>
      <c r="BM21" s="1">
        <v>0.2</v>
      </c>
      <c r="BN21" s="1">
        <v>0.2</v>
      </c>
    </row>
    <row r="22" spans="1:66" ht="16" x14ac:dyDescent="0.2">
      <c r="A22" s="1">
        <v>1992</v>
      </c>
      <c r="B22" s="1">
        <v>8.18</v>
      </c>
      <c r="C22" s="1">
        <v>66.98</v>
      </c>
      <c r="D22" s="1"/>
      <c r="E22" s="1"/>
      <c r="F22" s="1"/>
      <c r="G22" s="1" t="s">
        <v>176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>
        <v>0.1</v>
      </c>
      <c r="BH22" s="1">
        <v>0.1</v>
      </c>
      <c r="BI22" s="1">
        <v>0.1</v>
      </c>
      <c r="BJ22" s="1">
        <v>0.1</v>
      </c>
      <c r="BK22" s="1">
        <v>0.1</v>
      </c>
      <c r="BL22" s="1">
        <v>0.1</v>
      </c>
      <c r="BM22" s="1">
        <v>0.1</v>
      </c>
      <c r="BN22" s="1">
        <v>0.1</v>
      </c>
    </row>
    <row r="23" spans="1:66" ht="16" x14ac:dyDescent="0.2">
      <c r="A23" s="1">
        <v>1993</v>
      </c>
      <c r="B23" s="1">
        <v>8.18</v>
      </c>
      <c r="C23" s="1">
        <v>75.16</v>
      </c>
      <c r="D23" s="1"/>
      <c r="E23" s="1"/>
      <c r="F23" s="1"/>
      <c r="G23" s="1" t="s">
        <v>177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>
        <v>0.01</v>
      </c>
      <c r="BI23" s="1">
        <v>0.01</v>
      </c>
      <c r="BJ23" s="1">
        <v>0.01</v>
      </c>
      <c r="BK23" s="1">
        <v>0.01</v>
      </c>
      <c r="BL23" s="1">
        <v>0.01</v>
      </c>
      <c r="BM23" s="1">
        <v>0.01</v>
      </c>
      <c r="BN23" s="1">
        <v>0.01</v>
      </c>
    </row>
    <row r="24" spans="1:66" ht="16" x14ac:dyDescent="0.2">
      <c r="A24" s="1">
        <v>1994</v>
      </c>
      <c r="B24" s="1">
        <v>8.18</v>
      </c>
      <c r="C24" s="1">
        <v>83.34</v>
      </c>
      <c r="D24" s="1"/>
      <c r="E24" s="1"/>
      <c r="F24" s="1"/>
      <c r="G24" s="1" t="s">
        <v>178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>
        <v>1</v>
      </c>
      <c r="BJ24" s="1">
        <v>1</v>
      </c>
      <c r="BK24" s="1">
        <v>1</v>
      </c>
      <c r="BL24" s="1">
        <v>1</v>
      </c>
      <c r="BM24" s="1">
        <v>1</v>
      </c>
      <c r="BN24" s="1">
        <v>1</v>
      </c>
    </row>
    <row r="25" spans="1:66" ht="16" x14ac:dyDescent="0.2">
      <c r="A25" s="1">
        <v>1995</v>
      </c>
      <c r="B25" s="1">
        <v>8.18</v>
      </c>
      <c r="C25" s="1">
        <v>91.52</v>
      </c>
      <c r="D25" s="1"/>
      <c r="E25" s="1"/>
      <c r="F25" s="1"/>
      <c r="G25" s="1" t="s">
        <v>179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>
        <v>2</v>
      </c>
      <c r="BJ25" s="1">
        <v>2</v>
      </c>
      <c r="BK25" s="1">
        <v>2</v>
      </c>
      <c r="BL25" s="1">
        <v>2</v>
      </c>
      <c r="BM25" s="1">
        <v>2</v>
      </c>
      <c r="BN25" s="1">
        <v>2</v>
      </c>
    </row>
    <row r="26" spans="1:66" ht="16" x14ac:dyDescent="0.2">
      <c r="A26" s="1">
        <v>1996</v>
      </c>
      <c r="B26" s="1">
        <v>8.18</v>
      </c>
      <c r="C26" s="1">
        <v>99.7</v>
      </c>
      <c r="D26" s="1"/>
      <c r="E26" s="1"/>
      <c r="F26" s="1"/>
      <c r="G26" s="1" t="s">
        <v>180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>
        <v>0.33</v>
      </c>
      <c r="BJ26" s="1">
        <v>0.33</v>
      </c>
      <c r="BK26" s="1">
        <v>0.33</v>
      </c>
      <c r="BL26" s="1">
        <v>0.33</v>
      </c>
      <c r="BM26" s="1">
        <v>0.33</v>
      </c>
      <c r="BN26" s="1">
        <v>0.33</v>
      </c>
    </row>
    <row r="27" spans="1:66" ht="16" x14ac:dyDescent="0.2">
      <c r="A27" s="1">
        <v>1997</v>
      </c>
      <c r="B27" s="1">
        <v>8.18</v>
      </c>
      <c r="C27" s="1">
        <v>107.88</v>
      </c>
      <c r="D27" s="1"/>
      <c r="E27" s="1"/>
      <c r="F27" s="1"/>
      <c r="G27" s="1" t="s">
        <v>181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>
        <v>0.35</v>
      </c>
      <c r="BJ27" s="1">
        <v>0.35</v>
      </c>
      <c r="BK27" s="1">
        <v>0.35</v>
      </c>
      <c r="BL27" s="1">
        <v>0.35</v>
      </c>
      <c r="BM27" s="1">
        <v>0.35</v>
      </c>
      <c r="BN27" s="1">
        <v>0.35</v>
      </c>
    </row>
    <row r="28" spans="1:66" ht="16" x14ac:dyDescent="0.2">
      <c r="A28" s="1">
        <v>1998</v>
      </c>
      <c r="B28" s="1">
        <v>8.18</v>
      </c>
      <c r="C28" s="1">
        <v>116.06</v>
      </c>
      <c r="D28" s="1"/>
      <c r="E28" s="1"/>
      <c r="F28" s="1"/>
      <c r="G28" s="1" t="s">
        <v>182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>
        <v>0.14000000000000001</v>
      </c>
      <c r="BJ28" s="1">
        <v>0.14000000000000001</v>
      </c>
      <c r="BK28" s="1">
        <v>0.14000000000000001</v>
      </c>
      <c r="BL28" s="1">
        <v>0.14000000000000001</v>
      </c>
      <c r="BM28" s="1">
        <v>0.14000000000000001</v>
      </c>
      <c r="BN28" s="1">
        <v>0.14000000000000001</v>
      </c>
    </row>
    <row r="29" spans="1:66" ht="16" x14ac:dyDescent="0.2">
      <c r="A29" s="1">
        <v>1999</v>
      </c>
      <c r="B29" s="1">
        <v>8.18</v>
      </c>
      <c r="C29" s="1">
        <v>124.24</v>
      </c>
      <c r="D29" s="1"/>
      <c r="E29" s="1"/>
      <c r="F29" s="1"/>
      <c r="G29" s="1" t="s">
        <v>183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>
        <v>40.852748699999999</v>
      </c>
      <c r="BJ29" s="1">
        <v>40.852748699999999</v>
      </c>
      <c r="BK29" s="1">
        <v>40.852748699999999</v>
      </c>
      <c r="BL29" s="1">
        <v>40.852748699999999</v>
      </c>
      <c r="BM29" s="1">
        <v>40.852748699999999</v>
      </c>
      <c r="BN29" s="1">
        <v>40.852748699999999</v>
      </c>
    </row>
    <row r="30" spans="1:66" ht="16" x14ac:dyDescent="0.2">
      <c r="A30" s="1">
        <v>2000</v>
      </c>
      <c r="B30" s="1">
        <v>11.18</v>
      </c>
      <c r="C30" s="1">
        <v>135.41999999999999</v>
      </c>
      <c r="D30" s="1"/>
      <c r="E30" s="1"/>
      <c r="F30" s="1"/>
      <c r="G30" s="1" t="s">
        <v>184</v>
      </c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>
        <v>0.5</v>
      </c>
      <c r="BK30" s="1">
        <v>0.5</v>
      </c>
      <c r="BL30" s="1">
        <v>0.5</v>
      </c>
      <c r="BM30" s="1">
        <v>0.5</v>
      </c>
      <c r="BN30" s="1">
        <v>0.5</v>
      </c>
    </row>
    <row r="31" spans="1:66" ht="16" x14ac:dyDescent="0.2">
      <c r="A31" s="1">
        <v>2001</v>
      </c>
      <c r="B31" s="1">
        <v>11.18</v>
      </c>
      <c r="C31" s="1">
        <v>146.6</v>
      </c>
      <c r="D31" s="1"/>
      <c r="E31" s="1"/>
      <c r="F31" s="1"/>
      <c r="G31" s="1" t="s">
        <v>185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>
        <v>0.4</v>
      </c>
      <c r="BK31" s="1">
        <v>0.4</v>
      </c>
      <c r="BL31" s="1">
        <v>0.4</v>
      </c>
      <c r="BM31" s="1">
        <v>0.4</v>
      </c>
      <c r="BN31" s="1">
        <v>0.4</v>
      </c>
    </row>
    <row r="32" spans="1:66" ht="16" x14ac:dyDescent="0.2">
      <c r="A32" s="1">
        <v>2002</v>
      </c>
      <c r="B32" s="1">
        <v>11.18</v>
      </c>
      <c r="C32" s="1">
        <v>157.78</v>
      </c>
      <c r="D32" s="1"/>
      <c r="E32" s="1"/>
      <c r="F32" s="1"/>
      <c r="G32" s="1" t="s">
        <v>186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>
        <v>0.6</v>
      </c>
      <c r="BK32" s="1">
        <v>0.6</v>
      </c>
      <c r="BL32" s="1">
        <v>0.6</v>
      </c>
      <c r="BM32" s="1">
        <v>0.6</v>
      </c>
      <c r="BN32" s="1">
        <v>0.6</v>
      </c>
    </row>
    <row r="33" spans="1:66" ht="16" x14ac:dyDescent="0.2">
      <c r="A33" s="1">
        <v>2003</v>
      </c>
      <c r="B33" s="1">
        <v>11.53</v>
      </c>
      <c r="C33" s="1">
        <v>169.31</v>
      </c>
      <c r="D33" s="1"/>
      <c r="E33" s="1"/>
      <c r="F33" s="1"/>
      <c r="G33" s="1" t="s">
        <v>187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>
        <v>3.2000000000000001E-2</v>
      </c>
      <c r="BK33" s="1">
        <v>3.2000000000000001E-2</v>
      </c>
      <c r="BL33" s="1">
        <v>3.2000000000000001E-2</v>
      </c>
      <c r="BM33" s="1">
        <v>3.2000000000000001E-2</v>
      </c>
      <c r="BN33" s="1">
        <v>3.2000000000000001E-2</v>
      </c>
    </row>
    <row r="34" spans="1:66" ht="16" x14ac:dyDescent="0.2">
      <c r="A34" s="1">
        <v>2004</v>
      </c>
      <c r="B34" s="1">
        <v>11.53</v>
      </c>
      <c r="C34" s="1">
        <v>180.84</v>
      </c>
      <c r="D34" s="1"/>
      <c r="E34" s="1"/>
      <c r="F34" s="1"/>
      <c r="G34" s="1" t="s">
        <v>188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>
        <v>1.55</v>
      </c>
      <c r="BK34" s="1">
        <v>1.55</v>
      </c>
      <c r="BL34" s="1">
        <v>1.55</v>
      </c>
      <c r="BM34" s="1">
        <v>1.55</v>
      </c>
      <c r="BN34" s="1">
        <v>1.55</v>
      </c>
    </row>
    <row r="35" spans="1:66" ht="16" x14ac:dyDescent="0.2">
      <c r="A35" s="1">
        <v>2005</v>
      </c>
      <c r="B35" s="1">
        <v>11.53</v>
      </c>
      <c r="C35" s="1">
        <v>192.37</v>
      </c>
      <c r="D35" s="1"/>
      <c r="E35" s="1"/>
      <c r="F35" s="1"/>
      <c r="G35" s="1" t="s">
        <v>189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>
        <v>0.17</v>
      </c>
      <c r="BK35" s="1">
        <v>0.17</v>
      </c>
      <c r="BL35" s="1">
        <v>0.17</v>
      </c>
      <c r="BM35" s="1">
        <v>0.17</v>
      </c>
      <c r="BN35" s="1">
        <v>0.17</v>
      </c>
    </row>
    <row r="36" spans="1:66" ht="16" x14ac:dyDescent="0.2">
      <c r="A36" s="1">
        <v>2006</v>
      </c>
      <c r="B36" s="1">
        <v>11.53</v>
      </c>
      <c r="C36" s="1">
        <v>203.9</v>
      </c>
      <c r="D36" s="1"/>
      <c r="E36" s="1"/>
      <c r="F36" s="1"/>
      <c r="G36" s="1" t="s">
        <v>190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>
        <v>0.02</v>
      </c>
      <c r="BK36" s="1">
        <v>0.02</v>
      </c>
      <c r="BL36" s="1">
        <v>0.02</v>
      </c>
      <c r="BM36" s="1">
        <v>0.02</v>
      </c>
      <c r="BN36" s="1">
        <v>0.02</v>
      </c>
    </row>
    <row r="37" spans="1:66" ht="16" x14ac:dyDescent="0.2">
      <c r="A37" s="1">
        <v>2007</v>
      </c>
      <c r="B37" s="1">
        <v>11.53</v>
      </c>
      <c r="C37" s="1">
        <v>215.43</v>
      </c>
      <c r="D37" s="1"/>
      <c r="E37" s="1"/>
      <c r="F37" s="1"/>
      <c r="G37" s="1" t="s">
        <v>191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>
        <v>0.45</v>
      </c>
      <c r="BK37" s="1">
        <v>0.45</v>
      </c>
      <c r="BL37" s="1">
        <v>0.45</v>
      </c>
      <c r="BM37" s="1">
        <v>0.45</v>
      </c>
      <c r="BN37" s="1">
        <v>0.45</v>
      </c>
    </row>
    <row r="38" spans="1:66" ht="16" x14ac:dyDescent="0.2">
      <c r="A38" s="1">
        <v>2008</v>
      </c>
      <c r="B38" s="1">
        <v>11.53</v>
      </c>
      <c r="C38" s="1">
        <v>226.96</v>
      </c>
      <c r="D38" s="1"/>
      <c r="E38" s="1"/>
      <c r="F38" s="1"/>
      <c r="G38" s="1" t="s">
        <v>192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>
        <v>2.2000000000000002</v>
      </c>
      <c r="BK38" s="1">
        <v>2.2000000000000002</v>
      </c>
      <c r="BL38" s="1">
        <v>2.2000000000000002</v>
      </c>
      <c r="BM38" s="1">
        <v>2.2000000000000002</v>
      </c>
      <c r="BN38" s="1">
        <v>2.2000000000000002</v>
      </c>
    </row>
    <row r="39" spans="1:66" ht="16" x14ac:dyDescent="0.2">
      <c r="A39" s="1">
        <v>2009</v>
      </c>
      <c r="B39" s="1">
        <v>12.03</v>
      </c>
      <c r="C39" s="1">
        <v>238.99</v>
      </c>
      <c r="D39" s="1"/>
      <c r="E39" s="1"/>
      <c r="F39" s="1"/>
      <c r="G39" s="1" t="s">
        <v>193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>
        <v>2</v>
      </c>
      <c r="BK39" s="1">
        <v>2</v>
      </c>
      <c r="BL39" s="1">
        <v>2</v>
      </c>
      <c r="BM39" s="1">
        <v>2</v>
      </c>
      <c r="BN39" s="1">
        <v>2</v>
      </c>
    </row>
    <row r="40" spans="1:66" ht="16" x14ac:dyDescent="0.2">
      <c r="A40" s="1">
        <v>2010</v>
      </c>
      <c r="B40" s="1">
        <v>17.03</v>
      </c>
      <c r="C40" s="1">
        <v>256.02</v>
      </c>
      <c r="D40" s="1"/>
      <c r="E40" s="1"/>
      <c r="F40" s="1"/>
      <c r="G40" s="1" t="s">
        <v>194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>
        <v>1.2</v>
      </c>
      <c r="BK40" s="1">
        <v>1.2</v>
      </c>
      <c r="BL40" s="1">
        <v>1.2</v>
      </c>
      <c r="BM40" s="1">
        <v>1.2</v>
      </c>
      <c r="BN40" s="1">
        <v>1.2</v>
      </c>
    </row>
    <row r="41" spans="1:66" ht="16" x14ac:dyDescent="0.2">
      <c r="A41" s="1">
        <v>2011</v>
      </c>
      <c r="B41" s="1">
        <v>17.03</v>
      </c>
      <c r="C41" s="1">
        <v>273.05</v>
      </c>
      <c r="D41" s="1"/>
      <c r="E41" s="1"/>
      <c r="F41" s="1"/>
      <c r="G41" s="1" t="s">
        <v>195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>
        <v>0.8</v>
      </c>
      <c r="BK41" s="1">
        <v>0.8</v>
      </c>
      <c r="BL41" s="1">
        <v>0.8</v>
      </c>
      <c r="BM41" s="1">
        <v>0.8</v>
      </c>
      <c r="BN41" s="1">
        <v>0.8</v>
      </c>
    </row>
    <row r="42" spans="1:66" ht="16" x14ac:dyDescent="0.2">
      <c r="A42" s="1">
        <v>2012</v>
      </c>
      <c r="B42" s="1">
        <v>17.13</v>
      </c>
      <c r="C42" s="1">
        <v>290.18</v>
      </c>
      <c r="D42" s="1"/>
      <c r="E42" s="1"/>
      <c r="F42" s="1"/>
      <c r="G42" s="1" t="s">
        <v>196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>
        <v>0.5</v>
      </c>
      <c r="BK42" s="1">
        <v>0.5</v>
      </c>
      <c r="BL42" s="1">
        <v>0.5</v>
      </c>
      <c r="BM42" s="1">
        <v>0.5</v>
      </c>
      <c r="BN42" s="1">
        <v>0.5</v>
      </c>
    </row>
    <row r="43" spans="1:66" ht="16" x14ac:dyDescent="0.2">
      <c r="A43" s="1">
        <v>2013</v>
      </c>
      <c r="B43" s="1">
        <v>20.18</v>
      </c>
      <c r="C43" s="1">
        <v>310.36</v>
      </c>
      <c r="D43" s="1"/>
      <c r="E43" s="1"/>
      <c r="F43" s="1"/>
      <c r="G43" s="1" t="s">
        <v>197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>
        <v>2</v>
      </c>
      <c r="BK43" s="1">
        <v>2</v>
      </c>
      <c r="BL43" s="1">
        <v>2</v>
      </c>
      <c r="BM43" s="1">
        <v>2</v>
      </c>
      <c r="BN43" s="1">
        <v>2</v>
      </c>
    </row>
    <row r="44" spans="1:66" ht="16" x14ac:dyDescent="0.2">
      <c r="A44" s="1">
        <v>2014</v>
      </c>
      <c r="B44" s="1">
        <v>20.18</v>
      </c>
      <c r="C44" s="1">
        <v>330.54</v>
      </c>
      <c r="D44" s="1"/>
      <c r="E44" s="1"/>
      <c r="F44" s="1"/>
      <c r="G44" s="1" t="s">
        <v>198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>
        <v>1.5</v>
      </c>
      <c r="BK44" s="1">
        <v>1.5</v>
      </c>
      <c r="BL44" s="1">
        <v>1.5</v>
      </c>
      <c r="BM44" s="1">
        <v>1.5</v>
      </c>
      <c r="BN44" s="1">
        <v>1.5</v>
      </c>
    </row>
    <row r="45" spans="1:66" ht="16" x14ac:dyDescent="0.2">
      <c r="A45" s="1">
        <v>2015</v>
      </c>
      <c r="B45" s="1">
        <v>20.18</v>
      </c>
      <c r="C45" s="1">
        <v>350.72</v>
      </c>
      <c r="D45" s="1"/>
      <c r="E45" s="1"/>
      <c r="F45" s="1"/>
      <c r="G45" s="1" t="s">
        <v>199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>
        <v>0.5</v>
      </c>
      <c r="BK45" s="1">
        <v>0.5</v>
      </c>
      <c r="BL45" s="1">
        <v>0.5</v>
      </c>
      <c r="BM45" s="1">
        <v>0.5</v>
      </c>
      <c r="BN45" s="1">
        <v>0.5</v>
      </c>
    </row>
    <row r="46" spans="1:66" ht="16" x14ac:dyDescent="0.2">
      <c r="A46" s="1">
        <v>2016</v>
      </c>
      <c r="B46" s="1">
        <v>20.18</v>
      </c>
      <c r="C46" s="1">
        <v>370.9</v>
      </c>
      <c r="D46" s="1"/>
      <c r="E46" s="1"/>
      <c r="F46" s="1"/>
      <c r="G46" s="1" t="s">
        <v>200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>
        <v>0.8</v>
      </c>
      <c r="BK46" s="1">
        <v>0.8</v>
      </c>
      <c r="BL46" s="1">
        <v>0.8</v>
      </c>
      <c r="BM46" s="1">
        <v>0.8</v>
      </c>
      <c r="BN46" s="1">
        <v>0.8</v>
      </c>
    </row>
    <row r="47" spans="1:66" ht="16" x14ac:dyDescent="0.2">
      <c r="A47" s="1">
        <v>2017</v>
      </c>
      <c r="B47" s="1">
        <v>22.58</v>
      </c>
      <c r="C47" s="1">
        <v>393.48</v>
      </c>
      <c r="D47" s="1"/>
      <c r="E47" s="1"/>
      <c r="F47" s="1"/>
      <c r="G47" s="1" t="s">
        <v>201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>
        <v>1.67</v>
      </c>
      <c r="BK47" s="1">
        <v>1.67</v>
      </c>
      <c r="BL47" s="1">
        <v>1.67</v>
      </c>
      <c r="BM47" s="1">
        <v>1.67</v>
      </c>
      <c r="BN47" s="1">
        <v>1.67</v>
      </c>
    </row>
    <row r="48" spans="1:66" ht="16" x14ac:dyDescent="0.2">
      <c r="A48" s="1">
        <v>2018</v>
      </c>
      <c r="B48" s="1">
        <v>22.58</v>
      </c>
      <c r="C48" s="1">
        <v>416.06</v>
      </c>
      <c r="D48" s="1"/>
      <c r="E48" s="1"/>
      <c r="F48" s="1"/>
      <c r="G48" s="1" t="s">
        <v>202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>
        <v>0.37</v>
      </c>
      <c r="BL48" s="1">
        <v>0.37</v>
      </c>
      <c r="BM48" s="1">
        <v>0.37</v>
      </c>
      <c r="BN48" s="1">
        <v>0.37</v>
      </c>
    </row>
    <row r="49" spans="1:66" ht="16" x14ac:dyDescent="0.2">
      <c r="A49" s="1">
        <v>2019</v>
      </c>
      <c r="B49" s="1">
        <v>22.59</v>
      </c>
      <c r="C49" s="1">
        <v>438.65</v>
      </c>
      <c r="D49" s="1"/>
      <c r="E49" s="1"/>
      <c r="F49" s="1"/>
      <c r="G49" s="1" t="s">
        <v>203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>
        <v>2.7</v>
      </c>
      <c r="BL49" s="1">
        <v>2.7</v>
      </c>
      <c r="BM49" s="1">
        <v>2.7</v>
      </c>
      <c r="BN49" s="1">
        <v>2.7</v>
      </c>
    </row>
    <row r="50" spans="1:66" ht="16" x14ac:dyDescent="0.2">
      <c r="A50" s="1">
        <v>2020</v>
      </c>
      <c r="B50" s="1">
        <v>22.59</v>
      </c>
      <c r="C50" s="1">
        <v>461.24</v>
      </c>
      <c r="D50" s="1"/>
      <c r="E50" s="1"/>
      <c r="F50" s="1"/>
      <c r="G50" s="1" t="s">
        <v>204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>
        <v>1</v>
      </c>
      <c r="BL50" s="1">
        <v>1</v>
      </c>
      <c r="BM50" s="1">
        <v>1</v>
      </c>
      <c r="BN50" s="1">
        <v>1</v>
      </c>
    </row>
    <row r="51" spans="1:66" ht="16" x14ac:dyDescent="0.2">
      <c r="A51" s="1">
        <v>2021</v>
      </c>
      <c r="B51" s="1">
        <v>22.59</v>
      </c>
      <c r="C51" s="1">
        <v>483.83</v>
      </c>
      <c r="D51" s="1"/>
      <c r="E51" s="1"/>
      <c r="F51" s="1"/>
      <c r="G51" s="1" t="s">
        <v>205</v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>
        <v>0.25</v>
      </c>
      <c r="BL51" s="1">
        <v>0.25</v>
      </c>
      <c r="BM51" s="1">
        <v>0.25</v>
      </c>
      <c r="BN51" s="1">
        <v>0.25</v>
      </c>
    </row>
    <row r="52" spans="1:66" ht="16" x14ac:dyDescent="0.2">
      <c r="A52" s="1">
        <v>2022</v>
      </c>
      <c r="B52" s="1">
        <v>23.27</v>
      </c>
      <c r="C52" s="1">
        <v>507.1</v>
      </c>
      <c r="D52" s="1"/>
      <c r="E52" s="1"/>
      <c r="F52" s="1"/>
      <c r="G52" s="1" t="s">
        <v>206</v>
      </c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>
        <v>0.37</v>
      </c>
      <c r="BL52" s="1">
        <v>0.37</v>
      </c>
      <c r="BM52" s="1">
        <v>0.37</v>
      </c>
      <c r="BN52" s="1">
        <v>0.37</v>
      </c>
    </row>
    <row r="53" spans="1:66" ht="16" x14ac:dyDescent="0.2">
      <c r="A53" s="1">
        <v>2023</v>
      </c>
      <c r="B53" s="1">
        <v>23.78</v>
      </c>
      <c r="C53" s="1">
        <v>530.88</v>
      </c>
      <c r="D53" s="1"/>
      <c r="E53" s="1"/>
      <c r="F53" s="1"/>
      <c r="G53" s="1" t="s">
        <v>207</v>
      </c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>
        <v>0.125</v>
      </c>
      <c r="BL53" s="1">
        <v>0.125</v>
      </c>
      <c r="BM53" s="1">
        <v>0.125</v>
      </c>
      <c r="BN53" s="1">
        <v>0.125</v>
      </c>
    </row>
    <row r="54" spans="1:66" ht="16" x14ac:dyDescent="0.2">
      <c r="A54" s="1">
        <v>2024</v>
      </c>
      <c r="B54" s="1">
        <v>23.79</v>
      </c>
      <c r="C54" s="1">
        <v>554.66999999999996</v>
      </c>
      <c r="D54" s="1"/>
      <c r="E54" s="1"/>
      <c r="F54" s="1"/>
      <c r="G54" s="1" t="s">
        <v>208</v>
      </c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>
        <v>1.75</v>
      </c>
      <c r="BL54" s="1">
        <v>1.75</v>
      </c>
      <c r="BM54" s="1">
        <v>1.75</v>
      </c>
      <c r="BN54" s="1">
        <v>1.75</v>
      </c>
    </row>
    <row r="55" spans="1:66" ht="16" x14ac:dyDescent="0.2">
      <c r="A55" s="1">
        <v>2025</v>
      </c>
      <c r="B55" s="1">
        <v>68.462748700000006</v>
      </c>
      <c r="C55" s="1">
        <v>623.13274869999998</v>
      </c>
      <c r="D55" s="1"/>
      <c r="E55" s="1"/>
      <c r="F55" s="1"/>
      <c r="G55" s="1" t="s">
        <v>209</v>
      </c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>
        <v>0.12</v>
      </c>
      <c r="BL55" s="1">
        <v>0.12</v>
      </c>
      <c r="BM55" s="1">
        <v>0.12</v>
      </c>
      <c r="BN55" s="1">
        <v>0.12</v>
      </c>
    </row>
    <row r="56" spans="1:66" ht="16" x14ac:dyDescent="0.2">
      <c r="A56" s="1">
        <v>2026</v>
      </c>
      <c r="B56" s="1">
        <v>85.354748700000002</v>
      </c>
      <c r="C56" s="1">
        <v>708.48749739999994</v>
      </c>
      <c r="D56" s="1"/>
      <c r="E56" s="1"/>
      <c r="F56" s="1"/>
      <c r="G56" s="1" t="s">
        <v>210</v>
      </c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>
        <v>1</v>
      </c>
      <c r="BL56" s="1">
        <v>1</v>
      </c>
      <c r="BM56" s="1">
        <v>1</v>
      </c>
      <c r="BN56" s="1">
        <v>1</v>
      </c>
    </row>
    <row r="57" spans="1:66" ht="16" x14ac:dyDescent="0.2">
      <c r="A57" s="1">
        <v>2027</v>
      </c>
      <c r="B57" s="1">
        <v>116.8897487</v>
      </c>
      <c r="C57" s="1">
        <v>825.37724609999998</v>
      </c>
      <c r="D57" s="1"/>
      <c r="E57" s="1"/>
      <c r="F57" s="1"/>
      <c r="G57" s="1" t="s">
        <v>211</v>
      </c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>
        <v>0.45</v>
      </c>
      <c r="BL57" s="1">
        <v>0.45</v>
      </c>
      <c r="BM57" s="1">
        <v>0.45</v>
      </c>
      <c r="BN57" s="1">
        <v>0.45</v>
      </c>
    </row>
    <row r="58" spans="1:66" ht="16" x14ac:dyDescent="0.2">
      <c r="A58" s="1">
        <v>2028</v>
      </c>
      <c r="B58" s="1">
        <v>159.28974869999999</v>
      </c>
      <c r="C58" s="1">
        <v>984.6669948</v>
      </c>
      <c r="D58" s="1"/>
      <c r="E58" s="1"/>
      <c r="F58" s="1"/>
      <c r="G58" s="1" t="s">
        <v>212</v>
      </c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>
        <v>2</v>
      </c>
      <c r="BL58" s="1">
        <v>2</v>
      </c>
      <c r="BM58" s="1">
        <v>2</v>
      </c>
      <c r="BN58" s="1">
        <v>2</v>
      </c>
    </row>
    <row r="59" spans="1:66" ht="16" x14ac:dyDescent="0.2">
      <c r="A59" s="1">
        <v>2029</v>
      </c>
      <c r="B59" s="1">
        <v>180.47974869999999</v>
      </c>
      <c r="C59" s="1">
        <v>1165.1467435</v>
      </c>
      <c r="D59" s="1"/>
      <c r="E59" s="1"/>
      <c r="F59" s="1"/>
      <c r="G59" s="1" t="s">
        <v>213</v>
      </c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>
        <v>0.14000000000000001</v>
      </c>
      <c r="BL59" s="1">
        <v>0.14000000000000001</v>
      </c>
      <c r="BM59" s="1">
        <v>0.14000000000000001</v>
      </c>
      <c r="BN59" s="1">
        <v>0.14000000000000001</v>
      </c>
    </row>
    <row r="60" spans="1:66" ht="16" x14ac:dyDescent="0.2">
      <c r="A60" s="1">
        <v>2030</v>
      </c>
      <c r="B60" s="1">
        <v>190.2797487</v>
      </c>
      <c r="C60" s="1">
        <v>1355.4264922</v>
      </c>
      <c r="D60" s="1">
        <f>C60/1000</f>
        <v>1.3554264921999999</v>
      </c>
      <c r="E60" s="1"/>
      <c r="F60" s="1"/>
      <c r="G60" s="1" t="s">
        <v>214</v>
      </c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>
        <v>0.39</v>
      </c>
      <c r="BL60" s="1">
        <v>0.39</v>
      </c>
      <c r="BM60" s="1">
        <v>0.39</v>
      </c>
      <c r="BN60" s="1">
        <v>0.39</v>
      </c>
    </row>
    <row r="61" spans="1:66" ht="16" x14ac:dyDescent="0.2">
      <c r="A61" s="1"/>
      <c r="B61" s="1"/>
      <c r="C61" s="1"/>
      <c r="D61" s="1"/>
      <c r="E61" s="1"/>
      <c r="F61" s="1"/>
      <c r="G61" s="1" t="s">
        <v>215</v>
      </c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>
        <v>0.39</v>
      </c>
      <c r="BL61" s="1">
        <v>0.39</v>
      </c>
      <c r="BM61" s="1">
        <v>0.39</v>
      </c>
      <c r="BN61" s="1">
        <v>0.39</v>
      </c>
    </row>
    <row r="62" spans="1:66" ht="16" x14ac:dyDescent="0.2">
      <c r="A62" s="1"/>
      <c r="B62" s="1"/>
      <c r="C62" s="1"/>
      <c r="D62" s="1"/>
      <c r="E62" s="1"/>
      <c r="F62" s="1"/>
      <c r="G62" s="1" t="s">
        <v>216</v>
      </c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>
        <v>0.28000000000000003</v>
      </c>
      <c r="BL62" s="1">
        <v>0.28000000000000003</v>
      </c>
      <c r="BM62" s="1">
        <v>0.28000000000000003</v>
      </c>
      <c r="BN62" s="1">
        <v>0.28000000000000003</v>
      </c>
    </row>
    <row r="63" spans="1:66" ht="16" x14ac:dyDescent="0.2">
      <c r="A63" s="1"/>
      <c r="B63" s="1"/>
      <c r="C63" s="1"/>
      <c r="D63" s="1"/>
      <c r="E63" s="1"/>
      <c r="F63" s="1"/>
      <c r="G63" s="1" t="s">
        <v>217</v>
      </c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>
        <v>0.39</v>
      </c>
      <c r="BL63" s="1">
        <v>0.39</v>
      </c>
      <c r="BM63" s="1">
        <v>0.39</v>
      </c>
      <c r="BN63" s="1">
        <v>0.39</v>
      </c>
    </row>
    <row r="64" spans="1:66" ht="16" x14ac:dyDescent="0.2">
      <c r="A64" s="1"/>
      <c r="B64" s="1"/>
      <c r="C64" s="1"/>
      <c r="D64" s="1"/>
      <c r="E64" s="1"/>
      <c r="F64" s="1"/>
      <c r="G64" s="1" t="s">
        <v>218</v>
      </c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>
        <v>0.28000000000000003</v>
      </c>
      <c r="BL64" s="1">
        <v>0.28000000000000003</v>
      </c>
      <c r="BM64" s="1">
        <v>0.28000000000000003</v>
      </c>
      <c r="BN64" s="1">
        <v>0.28000000000000003</v>
      </c>
    </row>
    <row r="65" spans="1:66" ht="16" x14ac:dyDescent="0.2">
      <c r="A65" s="1"/>
      <c r="B65" s="1"/>
      <c r="C65" s="1"/>
      <c r="D65" s="1"/>
      <c r="E65" s="1"/>
      <c r="F65" s="1"/>
      <c r="G65" s="1" t="s">
        <v>219</v>
      </c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>
        <v>0.24</v>
      </c>
      <c r="BL65" s="1">
        <v>0.24</v>
      </c>
      <c r="BM65" s="1">
        <v>0.24</v>
      </c>
      <c r="BN65" s="1">
        <v>0.24</v>
      </c>
    </row>
    <row r="66" spans="1:66" ht="16" x14ac:dyDescent="0.2">
      <c r="A66" s="1"/>
      <c r="B66" s="1"/>
      <c r="C66" s="1"/>
      <c r="D66" s="1"/>
      <c r="E66" s="1"/>
      <c r="F66" s="1"/>
      <c r="G66" s="1" t="s">
        <v>220</v>
      </c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>
        <v>0.5</v>
      </c>
      <c r="BL66" s="1">
        <v>0.5</v>
      </c>
      <c r="BM66" s="1">
        <v>0.5</v>
      </c>
      <c r="BN66" s="1">
        <v>0.5</v>
      </c>
    </row>
    <row r="67" spans="1:66" ht="16" x14ac:dyDescent="0.2">
      <c r="A67" s="1"/>
      <c r="B67" s="1"/>
      <c r="C67" s="1"/>
      <c r="D67" s="1"/>
      <c r="E67" s="1"/>
      <c r="F67" s="1"/>
      <c r="G67" s="1" t="s">
        <v>221</v>
      </c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>
        <v>0.28000000000000003</v>
      </c>
      <c r="BL67" s="1">
        <v>0.28000000000000003</v>
      </c>
      <c r="BM67" s="1">
        <v>0.28000000000000003</v>
      </c>
      <c r="BN67" s="1">
        <v>0.28000000000000003</v>
      </c>
    </row>
    <row r="68" spans="1:66" ht="16" x14ac:dyDescent="0.2">
      <c r="A68" s="1"/>
      <c r="B68" s="1"/>
      <c r="C68" s="1"/>
      <c r="D68" s="1"/>
      <c r="E68" s="1"/>
      <c r="F68" s="1"/>
      <c r="G68" s="1" t="s">
        <v>222</v>
      </c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>
        <v>0.39</v>
      </c>
      <c r="BL68" s="1">
        <v>0.39</v>
      </c>
      <c r="BM68" s="1">
        <v>0.39</v>
      </c>
      <c r="BN68" s="1">
        <v>0.39</v>
      </c>
    </row>
    <row r="69" spans="1:66" ht="16" x14ac:dyDescent="0.2">
      <c r="A69" s="1"/>
      <c r="B69" s="1"/>
      <c r="C69" s="1"/>
      <c r="D69" s="1"/>
      <c r="E69" s="1"/>
      <c r="F69" s="1"/>
      <c r="G69" s="1" t="s">
        <v>223</v>
      </c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>
        <v>0.28000000000000003</v>
      </c>
      <c r="BL69" s="1">
        <v>0.28000000000000003</v>
      </c>
      <c r="BM69" s="1">
        <v>0.28000000000000003</v>
      </c>
      <c r="BN69" s="1">
        <v>0.28000000000000003</v>
      </c>
    </row>
    <row r="70" spans="1:66" ht="16" x14ac:dyDescent="0.2">
      <c r="A70" s="1"/>
      <c r="B70" s="1"/>
      <c r="C70" s="1"/>
      <c r="D70" s="1"/>
      <c r="E70" s="1"/>
      <c r="F70" s="1"/>
      <c r="G70" s="1" t="s">
        <v>224</v>
      </c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>
        <v>0.28000000000000003</v>
      </c>
      <c r="BL70" s="1">
        <v>0.28000000000000003</v>
      </c>
      <c r="BM70" s="1">
        <v>0.28000000000000003</v>
      </c>
      <c r="BN70" s="1">
        <v>0.28000000000000003</v>
      </c>
    </row>
    <row r="71" spans="1:66" ht="16" x14ac:dyDescent="0.2">
      <c r="A71" s="1"/>
      <c r="B71" s="1"/>
      <c r="C71" s="1"/>
      <c r="D71" s="1"/>
      <c r="E71" s="1"/>
      <c r="F71" s="1"/>
      <c r="G71" s="1" t="s">
        <v>225</v>
      </c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>
        <v>0.28000000000000003</v>
      </c>
      <c r="BL71" s="1">
        <v>0.28000000000000003</v>
      </c>
      <c r="BM71" s="1">
        <v>0.28000000000000003</v>
      </c>
      <c r="BN71" s="1">
        <v>0.28000000000000003</v>
      </c>
    </row>
    <row r="72" spans="1:66" ht="16" x14ac:dyDescent="0.2">
      <c r="A72" s="1"/>
      <c r="B72" s="1"/>
      <c r="C72" s="1"/>
      <c r="D72" s="1"/>
      <c r="E72" s="1"/>
      <c r="F72" s="1"/>
      <c r="G72" s="1" t="s">
        <v>226</v>
      </c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>
        <v>0.28000000000000003</v>
      </c>
      <c r="BL72" s="1">
        <v>0.28000000000000003</v>
      </c>
      <c r="BM72" s="1">
        <v>0.28000000000000003</v>
      </c>
      <c r="BN72" s="1">
        <v>0.28000000000000003</v>
      </c>
    </row>
    <row r="73" spans="1:66" ht="16" x14ac:dyDescent="0.2">
      <c r="A73" s="1"/>
      <c r="B73" s="1"/>
      <c r="C73" s="1"/>
      <c r="D73" s="1"/>
      <c r="E73" s="1"/>
      <c r="F73" s="1"/>
      <c r="G73" s="1" t="s">
        <v>227</v>
      </c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>
        <v>0.34</v>
      </c>
      <c r="BL73" s="1">
        <v>0.34</v>
      </c>
      <c r="BM73" s="1">
        <v>0.34</v>
      </c>
      <c r="BN73" s="1">
        <v>0.34</v>
      </c>
    </row>
    <row r="74" spans="1:66" ht="16" x14ac:dyDescent="0.2">
      <c r="A74" s="1"/>
      <c r="B74" s="1"/>
      <c r="C74" s="1"/>
      <c r="D74" s="1"/>
      <c r="E74" s="1"/>
      <c r="F74" s="1"/>
      <c r="G74" s="1" t="s">
        <v>228</v>
      </c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>
        <v>0.39</v>
      </c>
      <c r="BL74" s="1">
        <v>0.39</v>
      </c>
      <c r="BM74" s="1">
        <v>0.39</v>
      </c>
      <c r="BN74" s="1">
        <v>0.39</v>
      </c>
    </row>
    <row r="75" spans="1:66" ht="16" x14ac:dyDescent="0.2">
      <c r="A75" s="1"/>
      <c r="B75" s="1"/>
      <c r="C75" s="1"/>
      <c r="D75" s="1"/>
      <c r="E75" s="1"/>
      <c r="F75" s="1"/>
      <c r="G75" s="1" t="s">
        <v>229</v>
      </c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>
        <v>0.11</v>
      </c>
      <c r="BL75" s="1">
        <v>0.11</v>
      </c>
      <c r="BM75" s="1">
        <v>0.11</v>
      </c>
      <c r="BN75" s="1">
        <v>0.11</v>
      </c>
    </row>
    <row r="76" spans="1:66" ht="16" x14ac:dyDescent="0.2">
      <c r="A76" s="1"/>
      <c r="B76" s="1"/>
      <c r="C76" s="1"/>
      <c r="D76" s="1"/>
      <c r="E76" s="1"/>
      <c r="F76" s="1"/>
      <c r="G76" s="1" t="s">
        <v>230</v>
      </c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>
        <v>0.22</v>
      </c>
      <c r="BL76" s="1">
        <v>0.22</v>
      </c>
      <c r="BM76" s="1">
        <v>0.22</v>
      </c>
      <c r="BN76" s="1">
        <v>0.22</v>
      </c>
    </row>
    <row r="77" spans="1:66" ht="16" x14ac:dyDescent="0.2">
      <c r="A77" s="1"/>
      <c r="B77" s="1"/>
      <c r="C77" s="1"/>
      <c r="D77" s="1"/>
      <c r="E77" s="1"/>
      <c r="F77" s="1"/>
      <c r="G77" s="1" t="s">
        <v>231</v>
      </c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>
        <v>0.28000000000000003</v>
      </c>
      <c r="BL77" s="1">
        <v>0.28000000000000003</v>
      </c>
      <c r="BM77" s="1">
        <v>0.28000000000000003</v>
      </c>
      <c r="BN77" s="1">
        <v>0.28000000000000003</v>
      </c>
    </row>
    <row r="78" spans="1:66" ht="16" x14ac:dyDescent="0.2">
      <c r="A78" s="1"/>
      <c r="B78" s="1"/>
      <c r="C78" s="1"/>
      <c r="D78" s="1"/>
      <c r="E78" s="1"/>
      <c r="F78" s="1"/>
      <c r="G78" s="1" t="s">
        <v>232</v>
      </c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>
        <v>0.34</v>
      </c>
      <c r="BL78" s="1">
        <v>0.34</v>
      </c>
      <c r="BM78" s="1">
        <v>0.34</v>
      </c>
      <c r="BN78" s="1">
        <v>0.34</v>
      </c>
    </row>
    <row r="79" spans="1:66" ht="16" x14ac:dyDescent="0.2">
      <c r="A79" s="1"/>
      <c r="B79" s="1"/>
      <c r="C79" s="1"/>
      <c r="D79" s="1"/>
      <c r="E79" s="1"/>
      <c r="F79" s="1"/>
      <c r="G79" s="1" t="s">
        <v>233</v>
      </c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>
        <v>0.18</v>
      </c>
      <c r="BL79" s="1">
        <v>0.18</v>
      </c>
      <c r="BM79" s="1">
        <v>0.18</v>
      </c>
      <c r="BN79" s="1">
        <v>0.18</v>
      </c>
    </row>
    <row r="80" spans="1:66" ht="16" x14ac:dyDescent="0.2">
      <c r="A80" s="1"/>
      <c r="B80" s="1"/>
      <c r="C80" s="1"/>
      <c r="D80" s="1"/>
      <c r="E80" s="1"/>
      <c r="F80" s="1"/>
      <c r="G80" s="1" t="s">
        <v>234</v>
      </c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>
        <v>0.28000000000000003</v>
      </c>
      <c r="BL80" s="1">
        <v>0.28000000000000003</v>
      </c>
      <c r="BM80" s="1">
        <v>0.28000000000000003</v>
      </c>
      <c r="BN80" s="1">
        <v>0.28000000000000003</v>
      </c>
    </row>
    <row r="81" spans="1:66" ht="16" x14ac:dyDescent="0.2">
      <c r="A81" s="1"/>
      <c r="B81" s="1"/>
      <c r="C81" s="1"/>
      <c r="D81" s="1"/>
      <c r="E81" s="1"/>
      <c r="F81" s="1"/>
      <c r="G81" s="1" t="s">
        <v>235</v>
      </c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>
        <v>0.28000000000000003</v>
      </c>
      <c r="BL81" s="1">
        <v>0.28000000000000003</v>
      </c>
      <c r="BM81" s="1">
        <v>0.28000000000000003</v>
      </c>
      <c r="BN81" s="1">
        <v>0.28000000000000003</v>
      </c>
    </row>
    <row r="82" spans="1:66" ht="16" x14ac:dyDescent="0.2">
      <c r="A82" s="1"/>
      <c r="B82" s="1"/>
      <c r="C82" s="1"/>
      <c r="D82" s="1"/>
      <c r="E82" s="1"/>
      <c r="F82" s="1"/>
      <c r="G82" s="1" t="s">
        <v>236</v>
      </c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>
        <v>0.39</v>
      </c>
      <c r="BL82" s="1">
        <v>0.39</v>
      </c>
      <c r="BM82" s="1">
        <v>0.39</v>
      </c>
      <c r="BN82" s="1">
        <v>0.39</v>
      </c>
    </row>
    <row r="83" spans="1:66" ht="16" x14ac:dyDescent="0.2">
      <c r="A83" s="1"/>
      <c r="B83" s="1"/>
      <c r="C83" s="1"/>
      <c r="D83" s="1"/>
      <c r="E83" s="1"/>
      <c r="F83" s="1"/>
      <c r="G83" s="1" t="s">
        <v>237</v>
      </c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>
        <v>0.19</v>
      </c>
      <c r="BL83" s="1">
        <v>0.19</v>
      </c>
      <c r="BM83" s="1">
        <v>0.19</v>
      </c>
      <c r="BN83" s="1">
        <v>0.19</v>
      </c>
    </row>
    <row r="84" spans="1:66" ht="16" x14ac:dyDescent="0.2">
      <c r="A84" s="1"/>
      <c r="B84" s="1"/>
      <c r="C84" s="1"/>
      <c r="D84" s="1"/>
      <c r="E84" s="1"/>
      <c r="F84" s="1"/>
      <c r="G84" s="1" t="s">
        <v>238</v>
      </c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>
        <v>0.28000000000000003</v>
      </c>
      <c r="BL84" s="1">
        <v>0.28000000000000003</v>
      </c>
      <c r="BM84" s="1">
        <v>0.28000000000000003</v>
      </c>
      <c r="BN84" s="1">
        <v>0.28000000000000003</v>
      </c>
    </row>
    <row r="85" spans="1:66" ht="16" x14ac:dyDescent="0.2">
      <c r="A85" s="1"/>
      <c r="B85" s="1"/>
      <c r="C85" s="1"/>
      <c r="D85" s="1"/>
      <c r="E85" s="1"/>
      <c r="F85" s="1"/>
      <c r="G85" s="1" t="s">
        <v>239</v>
      </c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>
        <v>0.09</v>
      </c>
      <c r="BL85" s="1">
        <v>0.09</v>
      </c>
      <c r="BM85" s="1">
        <v>0.09</v>
      </c>
      <c r="BN85" s="1">
        <v>0.09</v>
      </c>
    </row>
    <row r="86" spans="1:66" ht="16" x14ac:dyDescent="0.2">
      <c r="A86" s="1"/>
      <c r="B86" s="1"/>
      <c r="C86" s="1"/>
      <c r="D86" s="1"/>
      <c r="E86" s="1"/>
      <c r="F86" s="1"/>
      <c r="G86" s="1" t="s">
        <v>240</v>
      </c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>
        <v>0.28000000000000003</v>
      </c>
      <c r="BL86" s="1">
        <v>0.28000000000000003</v>
      </c>
      <c r="BM86" s="1">
        <v>0.28000000000000003</v>
      </c>
      <c r="BN86" s="1">
        <v>0.28000000000000003</v>
      </c>
    </row>
    <row r="87" spans="1:66" ht="16" x14ac:dyDescent="0.2">
      <c r="A87" s="1"/>
      <c r="B87" s="1"/>
      <c r="C87" s="1"/>
      <c r="D87" s="1"/>
      <c r="E87" s="1"/>
      <c r="F87" s="1"/>
      <c r="G87" s="1" t="s">
        <v>241</v>
      </c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>
        <v>0.28000000000000003</v>
      </c>
      <c r="BL87" s="1">
        <v>0.28000000000000003</v>
      </c>
      <c r="BM87" s="1">
        <v>0.28000000000000003</v>
      </c>
      <c r="BN87" s="1">
        <v>0.28000000000000003</v>
      </c>
    </row>
    <row r="88" spans="1:66" ht="16" x14ac:dyDescent="0.2">
      <c r="A88" s="1"/>
      <c r="B88" s="1"/>
      <c r="C88" s="1"/>
      <c r="D88" s="1"/>
      <c r="E88" s="1"/>
      <c r="F88" s="1"/>
      <c r="G88" s="1" t="s">
        <v>242</v>
      </c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>
        <v>0.39</v>
      </c>
      <c r="BL88" s="1">
        <v>0.39</v>
      </c>
      <c r="BM88" s="1">
        <v>0.39</v>
      </c>
      <c r="BN88" s="1">
        <v>0.39</v>
      </c>
    </row>
    <row r="89" spans="1:66" ht="16" x14ac:dyDescent="0.2">
      <c r="A89" s="1"/>
      <c r="B89" s="1"/>
      <c r="C89" s="1"/>
      <c r="D89" s="1"/>
      <c r="E89" s="1"/>
      <c r="F89" s="1"/>
      <c r="G89" s="1" t="s">
        <v>243</v>
      </c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>
        <v>0.16</v>
      </c>
      <c r="BL89" s="1">
        <v>0.16</v>
      </c>
      <c r="BM89" s="1">
        <v>0.16</v>
      </c>
      <c r="BN89" s="1">
        <v>0.16</v>
      </c>
    </row>
    <row r="90" spans="1:66" ht="16" x14ac:dyDescent="0.2">
      <c r="A90" s="1"/>
      <c r="B90" s="1"/>
      <c r="C90" s="1"/>
      <c r="D90" s="1"/>
      <c r="E90" s="1"/>
      <c r="F90" s="1"/>
      <c r="G90" s="1" t="s">
        <v>244</v>
      </c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>
        <v>0.56999999999999995</v>
      </c>
      <c r="BL90" s="1">
        <v>0.56999999999999995</v>
      </c>
      <c r="BM90" s="1">
        <v>0.56999999999999995</v>
      </c>
      <c r="BN90" s="1">
        <v>0.56999999999999995</v>
      </c>
    </row>
    <row r="91" spans="1:66" ht="16" x14ac:dyDescent="0.2">
      <c r="A91" s="1"/>
      <c r="B91" s="1"/>
      <c r="C91" s="1"/>
      <c r="D91" s="1"/>
      <c r="E91" s="1"/>
      <c r="F91" s="1"/>
      <c r="G91" s="1" t="s">
        <v>245</v>
      </c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>
        <v>0.46</v>
      </c>
      <c r="BL91" s="1">
        <v>0.46</v>
      </c>
      <c r="BM91" s="1">
        <v>0.46</v>
      </c>
      <c r="BN91" s="1">
        <v>0.46</v>
      </c>
    </row>
    <row r="92" spans="1:66" ht="16" x14ac:dyDescent="0.2">
      <c r="A92" s="1"/>
      <c r="B92" s="1"/>
      <c r="C92" s="1"/>
      <c r="D92" s="1"/>
      <c r="E92" s="1"/>
      <c r="F92" s="1"/>
      <c r="G92" s="1" t="s">
        <v>246</v>
      </c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>
        <v>0.34</v>
      </c>
      <c r="BL92" s="1">
        <v>0.34</v>
      </c>
      <c r="BM92" s="1">
        <v>0.34</v>
      </c>
      <c r="BN92" s="1">
        <v>0.34</v>
      </c>
    </row>
    <row r="93" spans="1:66" ht="16" x14ac:dyDescent="0.2">
      <c r="A93" s="1"/>
      <c r="B93" s="1"/>
      <c r="C93" s="1"/>
      <c r="D93" s="1"/>
      <c r="E93" s="1"/>
      <c r="F93" s="1"/>
      <c r="G93" s="1" t="s">
        <v>247</v>
      </c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>
        <v>0.28000000000000003</v>
      </c>
      <c r="BL93" s="1">
        <v>0.28000000000000003</v>
      </c>
      <c r="BM93" s="1">
        <v>0.28000000000000003</v>
      </c>
      <c r="BN93" s="1">
        <v>0.28000000000000003</v>
      </c>
    </row>
    <row r="94" spans="1:66" ht="16" x14ac:dyDescent="0.2">
      <c r="A94" s="1"/>
      <c r="B94" s="1"/>
      <c r="C94" s="1"/>
      <c r="D94" s="1"/>
      <c r="E94" s="1"/>
      <c r="F94" s="1"/>
      <c r="G94" s="1" t="s">
        <v>248</v>
      </c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>
        <v>0.16</v>
      </c>
      <c r="BL94" s="1">
        <v>0.16</v>
      </c>
      <c r="BM94" s="1">
        <v>0.16</v>
      </c>
      <c r="BN94" s="1">
        <v>0.16</v>
      </c>
    </row>
    <row r="95" spans="1:66" ht="16" x14ac:dyDescent="0.2">
      <c r="A95" s="1"/>
      <c r="B95" s="1"/>
      <c r="C95" s="1"/>
      <c r="D95" s="1"/>
      <c r="E95" s="1"/>
      <c r="F95" s="1"/>
      <c r="G95" s="1" t="s">
        <v>249</v>
      </c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>
        <v>0.4</v>
      </c>
      <c r="BL95" s="1">
        <v>0.4</v>
      </c>
      <c r="BM95" s="1">
        <v>0.4</v>
      </c>
      <c r="BN95" s="1">
        <v>0.4</v>
      </c>
    </row>
    <row r="96" spans="1:66" ht="16" x14ac:dyDescent="0.2">
      <c r="A96" s="1"/>
      <c r="B96" s="1"/>
      <c r="C96" s="1"/>
      <c r="D96" s="1"/>
      <c r="E96" s="1"/>
      <c r="F96" s="1"/>
      <c r="G96" s="1" t="s">
        <v>250</v>
      </c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>
        <v>0.28000000000000003</v>
      </c>
      <c r="BL96" s="1">
        <v>0.28000000000000003</v>
      </c>
      <c r="BM96" s="1">
        <v>0.28000000000000003</v>
      </c>
      <c r="BN96" s="1">
        <v>0.28000000000000003</v>
      </c>
    </row>
    <row r="97" spans="1:66" ht="16" x14ac:dyDescent="0.2">
      <c r="A97" s="1"/>
      <c r="B97" s="1"/>
      <c r="C97" s="1"/>
      <c r="D97" s="1"/>
      <c r="E97" s="1"/>
      <c r="F97" s="1"/>
      <c r="G97" s="1" t="s">
        <v>251</v>
      </c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>
        <v>0.26</v>
      </c>
      <c r="BL97" s="1">
        <v>0.26</v>
      </c>
      <c r="BM97" s="1">
        <v>0.26</v>
      </c>
      <c r="BN97" s="1">
        <v>0.26</v>
      </c>
    </row>
    <row r="98" spans="1:66" ht="16" x14ac:dyDescent="0.2">
      <c r="A98" s="1"/>
      <c r="B98" s="1"/>
      <c r="C98" s="1"/>
      <c r="D98" s="1"/>
      <c r="E98" s="1"/>
      <c r="F98" s="1"/>
      <c r="G98" s="1" t="s">
        <v>252</v>
      </c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>
        <v>0.15</v>
      </c>
      <c r="BL98" s="1">
        <v>0.15</v>
      </c>
      <c r="BM98" s="1">
        <v>0.15</v>
      </c>
      <c r="BN98" s="1">
        <v>0.15</v>
      </c>
    </row>
    <row r="99" spans="1:66" ht="16" x14ac:dyDescent="0.2">
      <c r="A99" s="1"/>
      <c r="B99" s="1"/>
      <c r="C99" s="1"/>
      <c r="D99" s="1"/>
      <c r="E99" s="1"/>
      <c r="F99" s="1"/>
      <c r="G99" s="1" t="s">
        <v>253</v>
      </c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>
        <v>0.23</v>
      </c>
      <c r="BL99" s="1">
        <v>0.23</v>
      </c>
      <c r="BM99" s="1">
        <v>0.23</v>
      </c>
      <c r="BN99" s="1">
        <v>0.23</v>
      </c>
    </row>
    <row r="100" spans="1:66" ht="16" x14ac:dyDescent="0.2">
      <c r="A100" s="1"/>
      <c r="B100" s="1"/>
      <c r="C100" s="1"/>
      <c r="D100" s="1"/>
      <c r="E100" s="1"/>
      <c r="F100" s="1"/>
      <c r="G100" s="1" t="s">
        <v>254</v>
      </c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>
        <v>0.17</v>
      </c>
      <c r="BL100" s="1">
        <v>0.17</v>
      </c>
      <c r="BM100" s="1">
        <v>0.17</v>
      </c>
      <c r="BN100" s="1">
        <v>0.17</v>
      </c>
    </row>
    <row r="101" spans="1:66" ht="16" x14ac:dyDescent="0.2">
      <c r="A101" s="1"/>
      <c r="B101" s="1"/>
      <c r="C101" s="1"/>
      <c r="D101" s="1"/>
      <c r="E101" s="1"/>
      <c r="F101" s="1"/>
      <c r="G101" s="1" t="s">
        <v>255</v>
      </c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>
        <v>0.32</v>
      </c>
      <c r="BL101" s="1">
        <v>0.32</v>
      </c>
      <c r="BM101" s="1">
        <v>0.32</v>
      </c>
      <c r="BN101" s="1">
        <v>0.32</v>
      </c>
    </row>
    <row r="102" spans="1:66" ht="16" x14ac:dyDescent="0.2">
      <c r="A102" s="1"/>
      <c r="B102" s="1"/>
      <c r="C102" s="1"/>
      <c r="D102" s="1"/>
      <c r="E102" s="1"/>
      <c r="F102" s="1"/>
      <c r="G102" s="1" t="s">
        <v>256</v>
      </c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>
        <v>0.17</v>
      </c>
      <c r="BL102" s="1">
        <v>0.17</v>
      </c>
      <c r="BM102" s="1">
        <v>0.17</v>
      </c>
      <c r="BN102" s="1">
        <v>0.17</v>
      </c>
    </row>
    <row r="103" spans="1:66" ht="16" x14ac:dyDescent="0.2">
      <c r="A103" s="1"/>
      <c r="B103" s="1"/>
      <c r="C103" s="1"/>
      <c r="D103" s="1"/>
      <c r="E103" s="1"/>
      <c r="F103" s="1"/>
      <c r="G103" s="1" t="s">
        <v>257</v>
      </c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>
        <v>0.28000000000000003</v>
      </c>
      <c r="BL103" s="1">
        <v>0.28000000000000003</v>
      </c>
      <c r="BM103" s="1">
        <v>0.28000000000000003</v>
      </c>
      <c r="BN103" s="1">
        <v>0.28000000000000003</v>
      </c>
    </row>
    <row r="104" spans="1:66" ht="16" x14ac:dyDescent="0.2">
      <c r="A104" s="1"/>
      <c r="B104" s="1"/>
      <c r="C104" s="1"/>
      <c r="D104" s="1"/>
      <c r="E104" s="1"/>
      <c r="F104" s="1"/>
      <c r="G104" s="1" t="s">
        <v>258</v>
      </c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>
        <v>0.24</v>
      </c>
      <c r="BL104" s="1">
        <v>0.24</v>
      </c>
      <c r="BM104" s="1">
        <v>0.24</v>
      </c>
      <c r="BN104" s="1">
        <v>0.24</v>
      </c>
    </row>
    <row r="105" spans="1:66" ht="16" x14ac:dyDescent="0.2">
      <c r="A105" s="1"/>
      <c r="B105" s="1"/>
      <c r="C105" s="1"/>
      <c r="D105" s="1"/>
      <c r="E105" s="1"/>
      <c r="F105" s="1"/>
      <c r="G105" s="1" t="s">
        <v>259</v>
      </c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>
        <v>0.19</v>
      </c>
      <c r="BL105" s="1">
        <v>0.19</v>
      </c>
      <c r="BM105" s="1">
        <v>0.19</v>
      </c>
      <c r="BN105" s="1">
        <v>0.19</v>
      </c>
    </row>
    <row r="106" spans="1:66" ht="16" x14ac:dyDescent="0.2">
      <c r="A106" s="1"/>
      <c r="B106" s="1"/>
      <c r="C106" s="1"/>
      <c r="D106" s="1"/>
      <c r="E106" s="1"/>
      <c r="F106" s="1"/>
      <c r="G106" s="1" t="s">
        <v>260</v>
      </c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>
        <v>0.23</v>
      </c>
      <c r="BL106" s="1">
        <v>0.23</v>
      </c>
      <c r="BM106" s="1">
        <v>0.23</v>
      </c>
      <c r="BN106" s="1">
        <v>0.23</v>
      </c>
    </row>
    <row r="107" spans="1:66" ht="16" x14ac:dyDescent="0.2">
      <c r="A107" s="1"/>
      <c r="B107" s="1"/>
      <c r="C107" s="1"/>
      <c r="D107" s="1"/>
      <c r="E107" s="1"/>
      <c r="F107" s="1"/>
      <c r="G107" s="1" t="s">
        <v>261</v>
      </c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>
        <v>0.17</v>
      </c>
      <c r="BL107" s="1">
        <v>0.17</v>
      </c>
      <c r="BM107" s="1">
        <v>0.17</v>
      </c>
      <c r="BN107" s="1">
        <v>0.17</v>
      </c>
    </row>
    <row r="108" spans="1:66" ht="16" x14ac:dyDescent="0.2">
      <c r="A108" s="1"/>
      <c r="B108" s="1"/>
      <c r="C108" s="1"/>
      <c r="D108" s="1"/>
      <c r="E108" s="1"/>
      <c r="F108" s="1"/>
      <c r="G108" s="1" t="s">
        <v>262</v>
      </c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>
        <v>0.37</v>
      </c>
      <c r="BL108" s="1">
        <v>0.37</v>
      </c>
      <c r="BM108" s="1">
        <v>0.37</v>
      </c>
      <c r="BN108" s="1">
        <v>0.37</v>
      </c>
    </row>
    <row r="109" spans="1:66" ht="16" x14ac:dyDescent="0.2">
      <c r="A109" s="1"/>
      <c r="B109" s="1"/>
      <c r="C109" s="1"/>
      <c r="D109" s="1"/>
      <c r="E109" s="1"/>
      <c r="F109" s="1"/>
      <c r="G109" s="1" t="s">
        <v>263</v>
      </c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>
        <v>0.39</v>
      </c>
      <c r="BL109" s="1">
        <v>0.39</v>
      </c>
      <c r="BM109" s="1">
        <v>0.39</v>
      </c>
      <c r="BN109" s="1">
        <v>0.39</v>
      </c>
    </row>
    <row r="110" spans="1:66" ht="16" x14ac:dyDescent="0.2">
      <c r="A110" s="1"/>
      <c r="B110" s="1"/>
      <c r="C110" s="1"/>
      <c r="D110" s="1"/>
      <c r="E110" s="1"/>
      <c r="F110" s="1"/>
      <c r="G110" s="1" t="s">
        <v>264</v>
      </c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>
        <v>0.26</v>
      </c>
      <c r="BL110" s="1">
        <v>0.26</v>
      </c>
      <c r="BM110" s="1">
        <v>0.26</v>
      </c>
      <c r="BN110" s="1">
        <v>0.26</v>
      </c>
    </row>
    <row r="111" spans="1:66" ht="16" x14ac:dyDescent="0.2">
      <c r="A111" s="1"/>
      <c r="B111" s="1"/>
      <c r="C111" s="1"/>
      <c r="D111" s="1"/>
      <c r="E111" s="1"/>
      <c r="F111" s="1"/>
      <c r="G111" s="1" t="s">
        <v>265</v>
      </c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>
        <v>5</v>
      </c>
      <c r="BL111" s="1">
        <v>5</v>
      </c>
      <c r="BM111" s="1">
        <v>5</v>
      </c>
      <c r="BN111" s="1">
        <v>5</v>
      </c>
    </row>
    <row r="112" spans="1:66" ht="16" x14ac:dyDescent="0.2">
      <c r="A112" s="1"/>
      <c r="B112" s="1"/>
      <c r="C112" s="1"/>
      <c r="D112" s="1"/>
      <c r="E112" s="1"/>
      <c r="F112" s="1"/>
      <c r="G112" s="1" t="s">
        <v>266</v>
      </c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>
        <v>1.6</v>
      </c>
      <c r="BL112" s="1">
        <v>1.6</v>
      </c>
      <c r="BM112" s="1">
        <v>1.6</v>
      </c>
      <c r="BN112" s="1">
        <v>1.6</v>
      </c>
    </row>
    <row r="113" spans="1:66" ht="16" x14ac:dyDescent="0.2">
      <c r="A113" s="1"/>
      <c r="B113" s="1"/>
      <c r="C113" s="1"/>
      <c r="D113" s="1"/>
      <c r="E113" s="1"/>
      <c r="F113" s="1"/>
      <c r="G113" s="1" t="s">
        <v>267</v>
      </c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>
        <v>1.4</v>
      </c>
      <c r="BM113" s="1">
        <v>1.4</v>
      </c>
      <c r="BN113" s="1">
        <v>1.4</v>
      </c>
    </row>
    <row r="114" spans="1:66" ht="16" x14ac:dyDescent="0.2">
      <c r="A114" s="1"/>
      <c r="B114" s="1"/>
      <c r="C114" s="1"/>
      <c r="D114" s="1"/>
      <c r="E114" s="1"/>
      <c r="F114" s="1"/>
      <c r="G114" s="1" t="s">
        <v>268</v>
      </c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>
        <v>5</v>
      </c>
      <c r="BM114" s="1">
        <v>5</v>
      </c>
      <c r="BN114" s="1">
        <v>5</v>
      </c>
    </row>
    <row r="115" spans="1:66" ht="16" x14ac:dyDescent="0.2">
      <c r="A115" s="1"/>
      <c r="B115" s="1"/>
      <c r="C115" s="1"/>
      <c r="D115" s="1"/>
      <c r="E115" s="1"/>
      <c r="F115" s="1"/>
      <c r="G115" s="1" t="s">
        <v>269</v>
      </c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>
        <v>4.5</v>
      </c>
      <c r="BM115" s="1">
        <v>4.5</v>
      </c>
      <c r="BN115" s="1">
        <v>4.5</v>
      </c>
    </row>
    <row r="116" spans="1:66" ht="16" x14ac:dyDescent="0.2">
      <c r="A116" s="1"/>
      <c r="B116" s="1"/>
      <c r="C116" s="1"/>
      <c r="D116" s="1"/>
      <c r="E116" s="1"/>
      <c r="F116" s="1"/>
      <c r="G116" s="1" t="s">
        <v>270</v>
      </c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>
        <v>0.5</v>
      </c>
      <c r="BM116" s="1">
        <v>0.5</v>
      </c>
      <c r="BN116" s="1">
        <v>0.5</v>
      </c>
    </row>
    <row r="117" spans="1:66" ht="16" x14ac:dyDescent="0.2">
      <c r="A117" s="1"/>
      <c r="B117" s="1"/>
      <c r="C117" s="1"/>
      <c r="D117" s="1"/>
      <c r="E117" s="1"/>
      <c r="F117" s="1"/>
      <c r="G117" s="1" t="s">
        <v>271</v>
      </c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>
        <v>2</v>
      </c>
      <c r="BM117" s="1">
        <v>2</v>
      </c>
      <c r="BN117" s="1">
        <v>2</v>
      </c>
    </row>
    <row r="118" spans="1:66" ht="16" x14ac:dyDescent="0.2">
      <c r="A118" s="1"/>
      <c r="B118" s="1"/>
      <c r="C118" s="1"/>
      <c r="D118" s="1"/>
      <c r="E118" s="1"/>
      <c r="F118" s="1"/>
      <c r="G118" s="1" t="s">
        <v>272</v>
      </c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>
        <v>3.5</v>
      </c>
      <c r="BM118" s="1">
        <v>3.5</v>
      </c>
      <c r="BN118" s="1">
        <v>3.5</v>
      </c>
    </row>
    <row r="119" spans="1:66" ht="16" x14ac:dyDescent="0.2">
      <c r="A119" s="1"/>
      <c r="B119" s="1"/>
      <c r="C119" s="1"/>
      <c r="D119" s="1"/>
      <c r="E119" s="1"/>
      <c r="F119" s="1"/>
      <c r="G119" s="1" t="s">
        <v>273</v>
      </c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>
        <v>3</v>
      </c>
      <c r="BM119" s="1">
        <v>3</v>
      </c>
      <c r="BN119" s="1">
        <v>3</v>
      </c>
    </row>
    <row r="120" spans="1:66" ht="16" x14ac:dyDescent="0.2">
      <c r="A120" s="1"/>
      <c r="B120" s="1"/>
      <c r="C120" s="1"/>
      <c r="D120" s="1"/>
      <c r="E120" s="1"/>
      <c r="F120" s="1"/>
      <c r="G120" s="1" t="s">
        <v>274</v>
      </c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>
        <v>7</v>
      </c>
      <c r="BM120" s="1">
        <v>7</v>
      </c>
      <c r="BN120" s="1">
        <v>7</v>
      </c>
    </row>
    <row r="121" spans="1:66" ht="16" x14ac:dyDescent="0.2">
      <c r="A121" s="1"/>
      <c r="B121" s="1"/>
      <c r="C121" s="1"/>
      <c r="D121" s="1"/>
      <c r="E121" s="1"/>
      <c r="F121" s="1"/>
      <c r="G121" s="1" t="s">
        <v>275</v>
      </c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>
        <v>10</v>
      </c>
      <c r="BM121" s="1">
        <v>10</v>
      </c>
      <c r="BN121" s="1">
        <v>10</v>
      </c>
    </row>
    <row r="122" spans="1:66" ht="16" x14ac:dyDescent="0.2">
      <c r="A122" s="1"/>
      <c r="B122" s="1"/>
      <c r="C122" s="1"/>
      <c r="D122" s="1"/>
      <c r="E122" s="1"/>
      <c r="F122" s="1"/>
      <c r="G122" s="1" t="s">
        <v>276</v>
      </c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>
        <v>5.5</v>
      </c>
      <c r="BM122" s="1">
        <v>5.5</v>
      </c>
      <c r="BN122" s="1">
        <v>5.5</v>
      </c>
    </row>
    <row r="123" spans="1:66" ht="16" x14ac:dyDescent="0.2">
      <c r="A123" s="1"/>
      <c r="B123" s="1"/>
      <c r="C123" s="1"/>
      <c r="D123" s="1"/>
      <c r="E123" s="1"/>
      <c r="F123" s="1"/>
      <c r="G123" s="1" t="s">
        <v>277</v>
      </c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>
        <v>0.68</v>
      </c>
      <c r="BN123" s="1">
        <v>0.68</v>
      </c>
    </row>
    <row r="124" spans="1:66" ht="16" x14ac:dyDescent="0.2">
      <c r="A124" s="1"/>
      <c r="B124" s="1"/>
      <c r="C124" s="1"/>
      <c r="D124" s="1"/>
      <c r="E124" s="1"/>
      <c r="F124" s="1"/>
      <c r="G124" s="1" t="s">
        <v>278</v>
      </c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>
        <v>2.2999999999999998</v>
      </c>
      <c r="BN124" s="1">
        <v>2.2999999999999998</v>
      </c>
    </row>
    <row r="125" spans="1:66" ht="16" x14ac:dyDescent="0.2">
      <c r="A125" s="1"/>
      <c r="B125" s="1"/>
      <c r="C125" s="1"/>
      <c r="D125" s="1"/>
      <c r="E125" s="1"/>
      <c r="F125" s="1"/>
      <c r="G125" s="1" t="s">
        <v>279</v>
      </c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>
        <v>12</v>
      </c>
      <c r="BN125" s="1">
        <v>12</v>
      </c>
    </row>
    <row r="126" spans="1:66" ht="16" x14ac:dyDescent="0.2">
      <c r="A126" s="1"/>
      <c r="B126" s="1"/>
      <c r="C126" s="1"/>
      <c r="D126" s="1"/>
      <c r="E126" s="1"/>
      <c r="F126" s="1"/>
      <c r="G126" s="1" t="s">
        <v>280</v>
      </c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>
        <v>4</v>
      </c>
      <c r="BN126" s="1">
        <v>4</v>
      </c>
    </row>
    <row r="127" spans="1:66" ht="16" x14ac:dyDescent="0.2">
      <c r="A127" s="1"/>
      <c r="B127" s="1"/>
      <c r="C127" s="1"/>
      <c r="D127" s="1"/>
      <c r="E127" s="1"/>
      <c r="F127" s="1"/>
      <c r="G127" s="1" t="s">
        <v>281</v>
      </c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>
        <v>0.85</v>
      </c>
      <c r="BN127" s="1">
        <v>0.85</v>
      </c>
    </row>
    <row r="128" spans="1:66" ht="16" x14ac:dyDescent="0.2">
      <c r="A128" s="1"/>
      <c r="B128" s="1"/>
      <c r="C128" s="1"/>
      <c r="D128" s="1"/>
      <c r="E128" s="1"/>
      <c r="F128" s="1"/>
      <c r="G128" s="1" t="s">
        <v>282</v>
      </c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>
        <v>1.36</v>
      </c>
      <c r="BN128" s="1">
        <v>1.36</v>
      </c>
    </row>
    <row r="129" spans="1:66" ht="16" x14ac:dyDescent="0.2">
      <c r="A129" s="1"/>
      <c r="B129" s="1"/>
      <c r="C129" s="1"/>
      <c r="D129" s="1"/>
      <c r="E129" s="1"/>
      <c r="F129" s="1"/>
      <c r="G129" s="1" t="s">
        <v>283</v>
      </c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>
        <v>1.4</v>
      </c>
    </row>
    <row r="130" spans="1:66" ht="16" x14ac:dyDescent="0.2">
      <c r="A130" s="1"/>
      <c r="B130" s="1"/>
      <c r="C130" s="1"/>
      <c r="D130" s="1"/>
      <c r="E130" s="1"/>
      <c r="F130" s="1"/>
      <c r="G130" s="1" t="s">
        <v>284</v>
      </c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>
        <v>2</v>
      </c>
    </row>
    <row r="131" spans="1:66" ht="16" x14ac:dyDescent="0.2">
      <c r="A131" s="1"/>
      <c r="B131" s="1"/>
      <c r="C131" s="1"/>
      <c r="D131" s="1"/>
      <c r="E131" s="1"/>
      <c r="F131" s="1"/>
      <c r="G131" s="1" t="s">
        <v>285</v>
      </c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>
        <v>1</v>
      </c>
    </row>
    <row r="132" spans="1:66" ht="16" x14ac:dyDescent="0.2">
      <c r="A132" s="1"/>
      <c r="B132" s="1"/>
      <c r="C132" s="1"/>
      <c r="D132" s="1"/>
      <c r="E132" s="1"/>
      <c r="F132" s="1"/>
      <c r="G132" s="1" t="s">
        <v>286</v>
      </c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>
        <v>1.6</v>
      </c>
    </row>
    <row r="133" spans="1:66" ht="16" x14ac:dyDescent="0.2">
      <c r="A133" s="1"/>
      <c r="B133" s="1"/>
      <c r="C133" s="1"/>
      <c r="D133" s="1"/>
      <c r="E133" s="1"/>
      <c r="F133" s="1"/>
      <c r="G133" s="1" t="s">
        <v>287</v>
      </c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>
        <v>2</v>
      </c>
    </row>
    <row r="134" spans="1:66" ht="16" x14ac:dyDescent="0.2">
      <c r="A134" s="1"/>
      <c r="B134" s="1"/>
      <c r="C134" s="1"/>
      <c r="D134" s="1"/>
      <c r="E134" s="1"/>
      <c r="F134" s="1"/>
      <c r="G134" s="1" t="s">
        <v>288</v>
      </c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>
        <v>1.8</v>
      </c>
    </row>
    <row r="135" spans="1:66" ht="16" x14ac:dyDescent="0.2">
      <c r="A135" s="1"/>
      <c r="B135" s="1"/>
      <c r="C135" s="1"/>
      <c r="D135" s="1"/>
      <c r="E135" s="1"/>
      <c r="F135" s="1"/>
      <c r="G135" s="1" t="s">
        <v>8</v>
      </c>
      <c r="H135" s="1">
        <f t="shared" ref="H135:AM135" si="0">SUM(H3:H134)</f>
        <v>0.5</v>
      </c>
      <c r="I135" s="1">
        <f t="shared" si="0"/>
        <v>0.5</v>
      </c>
      <c r="J135" s="1">
        <f t="shared" si="0"/>
        <v>0.5</v>
      </c>
      <c r="K135" s="1">
        <f t="shared" si="0"/>
        <v>0.5</v>
      </c>
      <c r="L135" s="1">
        <f t="shared" si="0"/>
        <v>0.5</v>
      </c>
      <c r="M135" s="1">
        <f t="shared" si="0"/>
        <v>0.5</v>
      </c>
      <c r="N135" s="1">
        <f t="shared" si="0"/>
        <v>0.5</v>
      </c>
      <c r="O135" s="1">
        <f t="shared" si="0"/>
        <v>0.5</v>
      </c>
      <c r="P135" s="1">
        <f t="shared" si="0"/>
        <v>0.5</v>
      </c>
      <c r="Q135" s="1">
        <f t="shared" si="0"/>
        <v>0.5</v>
      </c>
      <c r="R135" s="1">
        <f t="shared" si="0"/>
        <v>1.1800000000000002</v>
      </c>
      <c r="S135" s="1">
        <f t="shared" si="0"/>
        <v>1.1800000000000002</v>
      </c>
      <c r="T135" s="1">
        <f t="shared" si="0"/>
        <v>1.1800000000000002</v>
      </c>
      <c r="U135" s="1">
        <f t="shared" si="0"/>
        <v>1.1800000000000002</v>
      </c>
      <c r="V135" s="1">
        <f t="shared" si="0"/>
        <v>8.18</v>
      </c>
      <c r="W135" s="1">
        <f t="shared" si="0"/>
        <v>8.18</v>
      </c>
      <c r="X135" s="1">
        <f t="shared" si="0"/>
        <v>8.18</v>
      </c>
      <c r="Y135" s="1">
        <f t="shared" si="0"/>
        <v>8.18</v>
      </c>
      <c r="Z135" s="1">
        <f t="shared" si="0"/>
        <v>8.18</v>
      </c>
      <c r="AA135" s="1">
        <f t="shared" si="0"/>
        <v>8.18</v>
      </c>
      <c r="AB135" s="1">
        <f t="shared" si="0"/>
        <v>8.18</v>
      </c>
      <c r="AC135" s="1">
        <f t="shared" si="0"/>
        <v>8.18</v>
      </c>
      <c r="AD135" s="1">
        <f t="shared" si="0"/>
        <v>8.18</v>
      </c>
      <c r="AE135" s="1">
        <f t="shared" si="0"/>
        <v>8.18</v>
      </c>
      <c r="AF135" s="1">
        <f t="shared" si="0"/>
        <v>8.18</v>
      </c>
      <c r="AG135" s="1">
        <f t="shared" si="0"/>
        <v>8.18</v>
      </c>
      <c r="AH135" s="1">
        <f t="shared" si="0"/>
        <v>8.18</v>
      </c>
      <c r="AI135" s="1">
        <f t="shared" si="0"/>
        <v>8.18</v>
      </c>
      <c r="AJ135" s="1">
        <f t="shared" si="0"/>
        <v>11.18</v>
      </c>
      <c r="AK135" s="1">
        <f t="shared" si="0"/>
        <v>11.18</v>
      </c>
      <c r="AL135" s="1">
        <f t="shared" si="0"/>
        <v>11.18</v>
      </c>
      <c r="AM135" s="1">
        <f t="shared" si="0"/>
        <v>11.53</v>
      </c>
      <c r="AN135" s="1">
        <f t="shared" ref="AN135:BN135" si="1">SUM(AN3:AN134)</f>
        <v>11.53</v>
      </c>
      <c r="AO135" s="1">
        <f t="shared" si="1"/>
        <v>11.53</v>
      </c>
      <c r="AP135" s="1">
        <f t="shared" si="1"/>
        <v>11.53</v>
      </c>
      <c r="AQ135" s="1">
        <f t="shared" si="1"/>
        <v>11.53</v>
      </c>
      <c r="AR135" s="1">
        <f t="shared" si="1"/>
        <v>11.53</v>
      </c>
      <c r="AS135" s="1">
        <f t="shared" si="1"/>
        <v>12.03</v>
      </c>
      <c r="AT135" s="1">
        <f t="shared" si="1"/>
        <v>17.03</v>
      </c>
      <c r="AU135" s="1">
        <f t="shared" si="1"/>
        <v>17.03</v>
      </c>
      <c r="AV135" s="1">
        <f t="shared" si="1"/>
        <v>17.130000000000003</v>
      </c>
      <c r="AW135" s="1">
        <f t="shared" si="1"/>
        <v>20.180000000000003</v>
      </c>
      <c r="AX135" s="1">
        <f t="shared" si="1"/>
        <v>20.180000000000003</v>
      </c>
      <c r="AY135" s="1">
        <f t="shared" si="1"/>
        <v>20.180000000000003</v>
      </c>
      <c r="AZ135" s="1">
        <f t="shared" si="1"/>
        <v>20.180000000000003</v>
      </c>
      <c r="BA135" s="1">
        <f t="shared" si="1"/>
        <v>22.580000000000002</v>
      </c>
      <c r="BB135" s="1">
        <f t="shared" si="1"/>
        <v>22.580000000000002</v>
      </c>
      <c r="BC135" s="1">
        <f t="shared" si="1"/>
        <v>22.590000000000003</v>
      </c>
      <c r="BD135" s="1">
        <f t="shared" si="1"/>
        <v>22.590000000000003</v>
      </c>
      <c r="BE135" s="1">
        <f t="shared" si="1"/>
        <v>22.590000000000003</v>
      </c>
      <c r="BF135" s="1">
        <f t="shared" si="1"/>
        <v>23.270000000000003</v>
      </c>
      <c r="BG135" s="1">
        <f t="shared" si="1"/>
        <v>23.780000000000005</v>
      </c>
      <c r="BH135" s="1">
        <f t="shared" si="1"/>
        <v>23.790000000000006</v>
      </c>
      <c r="BI135" s="1">
        <f t="shared" si="1"/>
        <v>68.462748700000006</v>
      </c>
      <c r="BJ135" s="1">
        <f t="shared" si="1"/>
        <v>85.354748700000002</v>
      </c>
      <c r="BK135" s="1">
        <f t="shared" si="1"/>
        <v>116.88974870000006</v>
      </c>
      <c r="BL135" s="1">
        <f t="shared" si="1"/>
        <v>159.28974870000008</v>
      </c>
      <c r="BM135" s="1">
        <f t="shared" si="1"/>
        <v>180.4797487000001</v>
      </c>
      <c r="BN135" s="1">
        <f t="shared" si="1"/>
        <v>190.27974870000011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6"/>
  <sheetViews>
    <sheetView workbookViewId="0">
      <selection activeCell="D6" sqref="D6"/>
    </sheetView>
  </sheetViews>
  <sheetFormatPr baseColWidth="10" defaultColWidth="8.83203125" defaultRowHeight="15" x14ac:dyDescent="0.2"/>
  <cols>
    <col min="1" max="1" width="13" customWidth="1"/>
    <col min="2" max="2" width="19.83203125" customWidth="1"/>
    <col min="3" max="3" width="21" customWidth="1"/>
    <col min="4" max="6" width="13" customWidth="1"/>
    <col min="7" max="7" width="75.6640625" customWidth="1"/>
    <col min="8" max="11" width="13" customWidth="1"/>
  </cols>
  <sheetData>
    <row r="1" spans="1:11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/>
      <c r="I1" s="1"/>
      <c r="J1" s="1"/>
      <c r="K1" s="1"/>
    </row>
    <row r="2" spans="1:11" ht="16" x14ac:dyDescent="0.2">
      <c r="A2" s="1">
        <v>2027</v>
      </c>
      <c r="B2" s="1">
        <v>1</v>
      </c>
      <c r="C2" s="1">
        <v>1</v>
      </c>
      <c r="D2" s="1"/>
      <c r="E2" s="1"/>
      <c r="F2" s="1"/>
      <c r="G2" s="1" t="s">
        <v>4</v>
      </c>
      <c r="H2" s="1">
        <v>2027</v>
      </c>
      <c r="I2" s="1">
        <v>2028</v>
      </c>
      <c r="J2" s="1">
        <v>2029</v>
      </c>
      <c r="K2" s="1">
        <v>2030</v>
      </c>
    </row>
    <row r="3" spans="1:11" ht="16" x14ac:dyDescent="0.2">
      <c r="A3" s="1">
        <v>2028</v>
      </c>
      <c r="B3" s="1">
        <v>1</v>
      </c>
      <c r="C3" s="1">
        <v>2</v>
      </c>
      <c r="D3" s="1"/>
      <c r="E3" s="1"/>
      <c r="F3" s="1"/>
      <c r="G3" s="1" t="s">
        <v>289</v>
      </c>
      <c r="H3" s="1">
        <v>1</v>
      </c>
      <c r="I3" s="1">
        <v>1</v>
      </c>
      <c r="J3" s="1">
        <v>1</v>
      </c>
      <c r="K3" s="1">
        <v>1</v>
      </c>
    </row>
    <row r="4" spans="1:11" ht="16" x14ac:dyDescent="0.2">
      <c r="A4" s="1">
        <v>2029</v>
      </c>
      <c r="B4" s="1">
        <v>1</v>
      </c>
      <c r="C4" s="1">
        <v>3</v>
      </c>
      <c r="D4" s="1"/>
      <c r="E4" s="1"/>
      <c r="F4" s="1"/>
      <c r="G4" s="1"/>
      <c r="H4" s="1"/>
      <c r="I4" s="1"/>
      <c r="J4" s="1"/>
      <c r="K4" s="1"/>
    </row>
    <row r="5" spans="1:11" ht="16" x14ac:dyDescent="0.2">
      <c r="A5" s="1">
        <v>2030</v>
      </c>
      <c r="B5" s="1">
        <v>1</v>
      </c>
      <c r="C5" s="1">
        <v>4</v>
      </c>
      <c r="D5" s="1">
        <f>C5/1000</f>
        <v>4.0000000000000001E-3</v>
      </c>
      <c r="E5" s="1"/>
      <c r="F5" s="1"/>
      <c r="G5" s="1"/>
      <c r="H5" s="1"/>
      <c r="I5" s="1"/>
      <c r="J5" s="1"/>
      <c r="K5" s="1"/>
    </row>
    <row r="6" spans="1:11" ht="16" x14ac:dyDescent="0.2">
      <c r="A6" s="1"/>
      <c r="B6" s="1"/>
      <c r="C6" s="1"/>
      <c r="D6" s="1"/>
      <c r="E6" s="1"/>
      <c r="F6" s="1"/>
      <c r="G6" s="1" t="s">
        <v>8</v>
      </c>
      <c r="H6" s="1">
        <f>SUM(H3:H3)</f>
        <v>1</v>
      </c>
      <c r="I6" s="1">
        <f>SUM(I3:I3)</f>
        <v>1</v>
      </c>
      <c r="J6" s="1">
        <f>SUM(J3:J3)</f>
        <v>1</v>
      </c>
      <c r="K6" s="1">
        <f>SUM(K3:K3)</f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IPCCreference</vt:lpstr>
      <vt:lpstr>Geological Storage Capacity</vt:lpstr>
      <vt:lpstr>Australia</vt:lpstr>
      <vt:lpstr>Canada</vt:lpstr>
      <vt:lpstr>China</vt:lpstr>
      <vt:lpstr>EU without UK</vt:lpstr>
      <vt:lpstr>Indonesia</vt:lpstr>
      <vt:lpstr>Middle East</vt:lpstr>
      <vt:lpstr>Brazil</vt:lpstr>
      <vt:lpstr>UK</vt:lpstr>
      <vt:lpstr>US</vt:lpstr>
      <vt:lpstr>Thailand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Gao, Xiaowei</cp:lastModifiedBy>
  <dcterms:created xsi:type="dcterms:W3CDTF">2026-06-01T21:05:13Z</dcterms:created>
  <dcterms:modified xsi:type="dcterms:W3CDTF">2026-06-01T22:13:08Z</dcterms:modified>
</cp:coreProperties>
</file>